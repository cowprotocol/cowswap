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WalletConnection" sheetId="2" r:id="rId6"/>
    <sheet state="visible" name="SafeWallet" sheetId="3" r:id="rId7"/>
    <sheet state="visible" name="SmartAccounts" sheetId="4" r:id="rId8"/>
    <sheet state="visible" name="MarketOrders" sheetId="5" r:id="rId9"/>
    <sheet state="visible" name="LimitOrders" sheetId="6" r:id="rId10"/>
    <sheet state="visible" name="TWAPOrders" sheetId="7" r:id="rId11"/>
    <sheet state="visible" name="CrossChain" sheetId="8" r:id="rId12"/>
    <sheet state="visible" name="UIUX" sheetId="9" r:id="rId13"/>
    <sheet state="visible" name="Hooks" sheetId="10" r:id="rId14"/>
    <sheet state="visible" name="RWA" sheetId="11" r:id="rId15"/>
    <sheet state="visible" name="AccountOverview" sheetId="12" r:id="rId16"/>
  </sheets>
  <definedNames/>
  <calcPr/>
</workbook>
</file>

<file path=xl/sharedStrings.xml><?xml version="1.0" encoding="utf-8"?>
<sst xmlns="http://schemas.openxmlformats.org/spreadsheetml/2006/main" count="3203" uniqueCount="1996">
  <si>
    <t xml:space="preserve">
</t>
  </si>
  <si>
    <t>CoW Swap — QA Test Checklist</t>
  </si>
  <si>
    <t>swap.cow.fi  |  Version 1.0  |  May 2026</t>
  </si>
  <si>
    <t>TEST EXECUTION SUMMARY</t>
  </si>
  <si>
    <t>Category</t>
  </si>
  <si>
    <t>Total</t>
  </si>
  <si>
    <t>Pass</t>
  </si>
  <si>
    <t>Fail</t>
  </si>
  <si>
    <t>Blocked</t>
  </si>
  <si>
    <t>% Pass</t>
  </si>
  <si>
    <t>Wallet Connection</t>
  </si>
  <si>
    <t>Safe Wallet</t>
  </si>
  <si>
    <t>Smart Accounts</t>
  </si>
  <si>
    <t>Market Orders (Swap)</t>
  </si>
  <si>
    <t>Limit Orders</t>
  </si>
  <si>
    <t>TWAP Orders</t>
  </si>
  <si>
    <t>Cross-Chain Swaps</t>
  </si>
  <si>
    <t>UI / UX</t>
  </si>
  <si>
    <t>Hooks</t>
  </si>
  <si>
    <t>Account Pages</t>
  </si>
  <si>
    <t>RWA (Ondo &amp; xStocks)</t>
  </si>
  <si>
    <t>TOTAL</t>
  </si>
  <si>
    <t>STATUS LEGEND</t>
  </si>
  <si>
    <t>✅  Pass</t>
  </si>
  <si>
    <t>❌  Fail</t>
  </si>
  <si>
    <t>⏸  Blocked</t>
  </si>
  <si>
    <t>⬜  Not Run</t>
  </si>
  <si>
    <t>Wallet Connection Tests</t>
  </si>
  <si>
    <t>CoW Swap  |  swap.cow.fi  |  WalletConnection</t>
  </si>
  <si>
    <t>ID</t>
  </si>
  <si>
    <t>Test Name</t>
  </si>
  <si>
    <t>Priority</t>
  </si>
  <si>
    <t>Type</t>
  </si>
  <si>
    <t>Preconditions</t>
  </si>
  <si>
    <t>Test Steps</t>
  </si>
  <si>
    <t>Expected Result</t>
  </si>
  <si>
    <t>Status</t>
  </si>
  <si>
    <t>Notes / Defect ID</t>
  </si>
  <si>
    <t>WC-01</t>
  </si>
  <si>
    <t>Connect MetaMask wallet</t>
  </si>
  <si>
    <t>High</t>
  </si>
  <si>
    <t>Functional</t>
  </si>
  <si>
    <t>MetaMask installed &amp; unlocked</t>
  </si>
  <si>
    <t>1. Open swap.cow.fi
2. Click 'Connect Wallet'
3. Select MetaMask
4. Approve connection in MetaMask popup</t>
  </si>
  <si>
    <t>1. Wallet address shown in header
2. correct network displayed</t>
  </si>
  <si>
    <t>Not Run</t>
  </si>
  <si>
    <t>WC-02</t>
  </si>
  <si>
    <t xml:space="preserve">Connect WalletConnect </t>
  </si>
  <si>
    <t>Mobile wallet with WalletConnect</t>
  </si>
  <si>
    <t>1. Click 'Connect Wallet'
2. Select WalletConnect
3. Scan QR with mobile wallet</t>
  </si>
  <si>
    <t>1. Wallet connected
2. address shown correctly</t>
  </si>
  <si>
    <t>WC-03</t>
  </si>
  <si>
    <t>Connect Rabby wallet</t>
  </si>
  <si>
    <t>Medium</t>
  </si>
  <si>
    <t>Rabby extension installed</t>
  </si>
  <si>
    <t>1. Click 'Connect Wallet'
2. Select Rabby
3. Approve</t>
  </si>
  <si>
    <t>Wallet connected successfully</t>
  </si>
  <si>
    <t>WC-04</t>
  </si>
  <si>
    <t>Connect hardware wallet via MetaMask</t>
  </si>
  <si>
    <t>Trezor / Ledger linked to MetaMask</t>
  </si>
  <si>
    <t>1. Connect MetaMask (hardware)
2. Select hardware account</t>
  </si>
  <si>
    <t>1. Hardware wallet address shown
2. EIP-712 signing prompt works</t>
  </si>
  <si>
    <t>WC-05</t>
  </si>
  <si>
    <t>Switch network while connected</t>
  </si>
  <si>
    <t>Wallet connected on Ethereum Mainnet</t>
  </si>
  <si>
    <t>1. Switch to Gnosis Chain in wallet
2. Observe UI update</t>
  </si>
  <si>
    <t>1. UI reflects new network
2. token list updates accordingly</t>
  </si>
  <si>
    <t>WC-06</t>
  </si>
  <si>
    <t>Disconnect wallet</t>
  </si>
  <si>
    <t>Wallet currently connected</t>
  </si>
  <si>
    <t>1. Click wallet address
2. Select 'Disconnect'</t>
  </si>
  <si>
    <t>1. Wallet disconnected
2. connect button restored</t>
  </si>
  <si>
    <t>WC-07</t>
  </si>
  <si>
    <t>Session persistence on page reload</t>
  </si>
  <si>
    <t>Low</t>
  </si>
  <si>
    <t>Wallet connected</t>
  </si>
  <si>
    <t>1. Reload the page</t>
  </si>
  <si>
    <t>1. Wallet remains connected
2. no re-auth required</t>
  </si>
  <si>
    <t>WC-08</t>
  </si>
  <si>
    <t>Connect via mobile app (in-app browser)</t>
  </si>
  <si>
    <t>Mobile wallet app installed (e.g. MetaMask Mobile, Trust Wallet); mobile device</t>
  </si>
  <si>
    <t>1. Open wallet app on mobile device
2. Navigate to the in-app browser (DApp browser)
3. Enter https://swap.cow.fi
4. Tap 'Connect Wallet'
5. Select the injected wallet option (should auto-detect mobile wallet)
6. Approve connection in wallet prompt</t>
  </si>
  <si>
    <t>1. Wallet auto-detected as injected provider
2. address shown in header
3. correct chain displayed
4. swap UI fully functional in mobile in-app browser</t>
  </si>
  <si>
    <t>WC-09</t>
  </si>
  <si>
    <t>Connect via mobile app — WalletConnect fallback</t>
  </si>
  <si>
    <t>Mobile device with wallet that supports WalletConnect v2 but does NOT inject a provider (e.g. opened in system browser, not in-app browser)</t>
  </si>
  <si>
    <t>1. Open swap.cow.fi in mobile system browser (Safari / Chrome)
2. Tap 'Connect Wallet'
3. Select WalletConnect
4. Tap the deep-link / 'Open in wallet' button
5. Approve connection in the wallet app</t>
  </si>
  <si>
    <t>1. WalletConnect session established via deep-link
2. wallet address shown
3. no duplicate connection prompts
4. session stable across mobile browser background/foreground cycles</t>
  </si>
  <si>
    <t>WC-10</t>
  </si>
  <si>
    <t>Connect inside wallet's built-in browser (injected provider detection)</t>
  </si>
  <si>
    <t>Wallet with built-in DApp browser (MetaMask Mobile, Coinbase Wallet, Rabby Mobile); navigate to swap.cow.fi from within that browser</t>
  </si>
  <si>
    <t>1. Open wallet app
2. Go to the built-in browser / DApp browser tab
3. Navigate to swap.cow.fi
4. Observe whether wallet is auto-detected
5. If not auto-detected, tap 'Connect Wallet' and confirm injected option is listed
6. Approve connection</t>
  </si>
  <si>
    <t>1. window.ethereum injected correctly
2. wallet listed as first option
3. no WalletConnect QR shown unnecessarily
4. connection completes without leaving the browser view</t>
  </si>
  <si>
    <t>WC-11</t>
  </si>
  <si>
    <t>Connect Safe via WalletConnect (external signer)</t>
  </si>
  <si>
    <t>Safe wallet deployed on target network; at least one signer device (desktop or mobile wallet with WC v2 support); Safe does NOT need to be used as Safe App</t>
  </si>
  <si>
    <t>1. Open swap.cow.fi in a regular browser
2. Click 'Connect Wallet'
3. Select WalletConnect
4. Copy or scan the WC URI
5. In the Safe interface (app.safe.global), go to WalletConnect section and paste the URI
6. Approve the connection from Safe
7. Collect required signer approvals if threshold &gt; 1</t>
  </si>
  <si>
    <t>1. Safe address (0x…) shown as connected wallet
2. UI recognises smart contract wallet
3. ERC-1271 signing used for order placement
4. TWAP / advanced order types accessible</t>
  </si>
  <si>
    <t>WC-12</t>
  </si>
  <si>
    <t>Open CoW Swap inside Safe App (native Safe App integration)</t>
  </si>
  <si>
    <t>Safe wallet exists; access to app.safe.global or Safe mobile app</t>
  </si>
  <si>
    <t>1. Log in to app.safe.global with Safe owner wallet
2. Navigate to Apps → Search for 'CoW Swap'
3. Open CoW Swap Safe App
4. Verify auto-connection (no manual connect step should be required)
5. Attempt a swap or limit order to confirm full functionality</t>
  </si>
  <si>
    <t>1. CoW Swap loads inside Safe iframe
2. Safe address auto-connected
3. no extra connect step
4. TWAP tab visible and accessible
5. order signing routes through Safe transaction queue</t>
  </si>
  <si>
    <t>Also test in Safe mobile app if available</t>
  </si>
  <si>
    <t>WC-13</t>
  </si>
  <si>
    <t>Multiple tabs — connection state isolation</t>
  </si>
  <si>
    <t>Desktop browser; wallet extension installed (e.g. MetaMask)</t>
  </si>
  <si>
    <t>1. Open swap.cow.fi in Tab A; connect Wallet A
2. Open swap.cow.fi in Tab B (same browser, new tab)
3. In Tab B, connect a different account (switch account in MetaMask)
4. Switch back to Tab A and interact (e.g. refresh quote)
5. Repeat with one tab connected and one tab with no wallet</t>
  </si>
  <si>
    <t>1. Each tab reflects its own connection state without corrupting the other
2. Tab A does not silently adopt Tab B's account change
3. wallet account changes propagate correctly only to the active/focused tab OR consistently to all tabs per wallet extension behaviour</t>
  </si>
  <si>
    <t>Document actual wallet extension behaviour (MetaMask broadcasts accountsChanged to all tabs — this is expected and should be noted, not flagged as a bug)</t>
  </si>
  <si>
    <t>WC-14</t>
  </si>
  <si>
    <t>Multiple tabs — no duplicate connection prompts</t>
  </si>
  <si>
    <t>swap.cow.fi open in 2+ tabs simultaneously</t>
  </si>
  <si>
    <t>1. Open swap.cow.fi in Tab A and Tab B
2. In Tab A, click 'Connect Wallet' and begin connection flow
3. Switch to Tab B without completing connection in Tab A
4. Observe Tab B's state
5. Complete connection in Tab A; verify Tab B updates appropriately</t>
  </si>
  <si>
    <t>1. Tab B does not launch its own unsolicited connection prompt
2. completing connection in Tab A does not leave Tab B in a broken/mixed state
3. no JS errors in console related to provider conflicts</t>
  </si>
  <si>
    <t>WC-15</t>
  </si>
  <si>
    <t>Account modal: connected wallet address displayed correctly</t>
  </si>
  <si>
    <t>1. Open account modal
2. Verify wallet address shown
3. Compare to wallet extension address</t>
  </si>
  <si>
    <t>1. Full or truncated wallet address shown and matches connected wallet
2. ENS name shown if resolved
3. correct for all wallet types (EOA, Safe, MM Smart Account, Base SA)</t>
  </si>
  <si>
    <t>WC-16</t>
  </si>
  <si>
    <t>Account modal:  history shows last 10 orders</t>
  </si>
  <si>
    <t xml:space="preserve">1. Open account modal </t>
  </si>
  <si>
    <t>1. Up to last 10 orders shown
2. link to CoW Explorer provided for full history
3. orders show status (In Progress, Filled, Cancelled, Expired)
4. each order links to explorer detail page</t>
  </si>
  <si>
    <t>WC-17</t>
  </si>
  <si>
    <t>Account modal: network switch updates displayed data</t>
  </si>
  <si>
    <t>1. View account overview on Mainnet
2. Switch wallet to Gnosis Chain
3. Observe account data refresh</t>
  </si>
  <si>
    <t>1. Account data updates to reflect new chain
2. token balances, order history, and proxy info shown for the newly connected chain
3. no stale Mainnet data persists</t>
  </si>
  <si>
    <t>Safe Wallet Tests</t>
  </si>
  <si>
    <t>CoW Swap  |  swap.cow.fi  |  SafeWallet</t>
  </si>
  <si>
    <t>SW-01</t>
  </si>
  <si>
    <t>Safe App: CoW Swap opens inside Safe — auto-connection</t>
  </si>
  <si>
    <t>Safe wallet exists on a supported chain; access to app.safe.global or Safe mobile app</t>
  </si>
  <si>
    <t>1. Log in to app.safe.global with a Safe owner wallet
2. Navigate to Apps → search 'CoW Swap'
3. Open CoW Swap Safe App
4. Observe connection state — no manual connect step expected</t>
  </si>
  <si>
    <t>1. CoW Swap loads inside Safe iframe
2. Safe address auto-connected
3. no 'Connect Wallet' prompt
4. Safe App License Fee (0.1%) shown in fee fields fior non-correlated assets</t>
  </si>
  <si>
    <t>This is the primary Safe integration path. Safe charges its own 0.1% fee when app is opened here
correlated assets listed in https://cms.cow.fi/admin/content-manager/collection-types/api::correlated-token.correlated-token?page=1&amp;pageSize=10&amp;sort=name:ASC</t>
  </si>
  <si>
    <t>SW-02</t>
  </si>
  <si>
    <t>Safe App: order signing routes through Safe tx queue</t>
  </si>
  <si>
    <t>CoW Swap open inside Safe App; Safe threshold ≥ 1</t>
  </si>
  <si>
    <t>1. Place a market swap order inside CoW Swap Safe App
2. Observe signing flow — should NOT open individual EOA wallet prompt
3. Verify new transaction appears in Safe transaction queue
4. Collect required signer signatures
5. Execute the transaction</t>
  </si>
  <si>
    <t>1. Safe TX created in queue
2. order only submitted to CoW Protocol API after on-chain Safe TX executes
3. no off-chain EOA signature bypass
4. threshold satisfied before execution</t>
  </si>
  <si>
    <t>SW-03</t>
  </si>
  <si>
    <t>Safe via WalletConnect — desktop Safe app (app.safe.global)</t>
  </si>
  <si>
    <t>Safe wallet deployed; access to app.safe.global; no Safe App used — connecting externally via WC</t>
  </si>
  <si>
    <t>1. Open swap.cow.fi in a separate browser tab
2. Click 'Connect Wallet' → select WalletConnect
3. Copy the WC URI
4. In app.safe.global → WalletConnect section → paste URI
5. Approve connection from Safe desktop app
6. Return to swap.cow.fi</t>
  </si>
  <si>
    <t>1. Safe address shown as connected wallet in CoW Swap
2. UI recognises SC wallet (ERC-1271 signing)
3. TWAP available if fallback handler installed
4. Safe App License Fee NOT applied (only applies inside Safe App iframe)
5. no gasless transactions (SC wallet)</t>
  </si>
  <si>
    <t>Key difference from SW-01: no Safe App fee; no gasless; orders still sign via Safe tx queue</t>
  </si>
  <si>
    <t>SW-04</t>
  </si>
  <si>
    <t>Safe via WalletConnect — mobile Safe app</t>
  </si>
  <si>
    <t>Safe wallet; Safe mobile app installed; swap.cow.fi open in desktop browser</t>
  </si>
  <si>
    <t>1. Open swap.cow.fi on desktop
2. Click 'Connect Wallet' → WalletConnect
3. Scan WC QR code with Safe mobile app
4. Approve connection in Safe mobile
5. Place a swap order on desktop
6. Approve the Safe TX in Safe mobile app (collect signatures)</t>
  </si>
  <si>
    <t>1. Safe address connected
2. order placement triggers Safe TX in mobile app queue
3. all signers must approve via mobile
4. Safe App fee NOT applied
5. no gasless
6. signing is on-chain</t>
  </si>
  <si>
    <t>This type of connection does not support transactions bundling</t>
  </si>
  <si>
    <t>SW-05</t>
  </si>
  <si>
    <t>Safe imported in Rabby wallet — connection and signing</t>
  </si>
  <si>
    <t>Rabby wallet extension installed; Safe wallet imported into Rabby (Rabby supports Safe as an account type)</t>
  </si>
  <si>
    <t>1. In Rabby, switch to the imported Safe account
2. Open swap.cow.fi
3. Connect wallet — Rabby injected provider selected
4. Place a swap order
5. Observe signing flow in Rabby</t>
  </si>
  <si>
    <t>1. Safe address shown as connected
2. Rabby handles signing on behalf of Safe
3. order may use off-chain ERC-1271 signature (Rabby can simulate Safe signing) or route through Safe TX — verify which path Rabby uses
4. TWAP availability depends on fallback handler</t>
  </si>
  <si>
    <t>Rabby's Safe import allows off-chain-style signing for Safe — behaviour may differ from native Safe App or WC connection. Verify fee logic: no Safe App fee; check whether gasless/bundling applies. Also, not TX bundling. Onchain TX resoinses are not detected: see https://github.com/cowprotocol/cowswap/issues/6755</t>
  </si>
  <si>
    <t>SW-06</t>
  </si>
  <si>
    <t>Fee: Safe App License Fee (0.1%) applied inside Safe App</t>
  </si>
  <si>
    <t>CoW Swap open inside Safe App (SW-01 or SW-06 context)</t>
  </si>
  <si>
    <t>1. Open CoW Swap inside Safe App (app.safe.global or mobile)
2. Select any non-correlated token pair
3. Enter a swap amount
4. Observe fee fields on the swap form and confirm modal</t>
  </si>
  <si>
    <t>1. 'Safe App License Fee (0.1%)' label appears on swap form
2. shows estimated fee in tokens and USD
3. same label on Confirm modal
4. Receive (incl. costs) tooltip includes Safe App fee
5. fee NOT shown for correlated token pairs (e.g. USDC/DAI)</t>
  </si>
  <si>
    <t xml:space="preserve">Per spec: Safe charges 0.1% fee inside Safe App. Correlated pairs exempt
correlated assets listed in https://cms.cow.fi/admin/content-manager/collection-types/api::correlated-token.correlated-token?page=1&amp;pageSize=10&amp;sort=name:ASC </t>
  </si>
  <si>
    <t>SW-07</t>
  </si>
  <si>
    <t>Fee: Safe App License Fee NOT applied via WalletConnect</t>
  </si>
  <si>
    <t>Safe connected via WalletConnect (SW-03 or SW-04), NOT inside Safe App iframe</t>
  </si>
  <si>
    <t>1. Connect Safe via WC to swap.cow.fi
2. Select same token pair as SW-07
3. Enter same amount
4. Compare fee fields</t>
  </si>
  <si>
    <t>1. No 'Safe App License Fee' shown
2. only standard CoW Protocol network costs and any applicable volume fee
3. fee section shows standard breakdown</t>
  </si>
  <si>
    <t>Safe App fee = iframe context only, not WC context</t>
  </si>
  <si>
    <t>SW-08</t>
  </si>
  <si>
    <t>Fee: SC wallet — no gasless transactions, '+gas' shown in Network costs</t>
  </si>
  <si>
    <t>Any Safe connection mode (SW-01 through SW-06)</t>
  </si>
  <si>
    <t>1. Connect via any Safe method
2. Load a swap quote
3. Observe Network costs (est.) field
4. Check Receive (incl. costs) / From (incl. costs) tooltips</t>
  </si>
  <si>
    <t>1. Network costs field shows '+gas' suffix
2. Fee field absent from Receive/From tooltips (when no other fee types present)
3. transactions are NOT gasless — SC wallets execute on-chain TXs</t>
  </si>
  <si>
    <t>Per spec: 'Transactions in SC wallets are not gasless ones. Fee field is absent from tooltips when no other fee types. Network costs shows +gas'</t>
  </si>
  <si>
    <t>SW-09</t>
  </si>
  <si>
    <t>Fee: Safe App fee exempt for correlated token pairs</t>
  </si>
  <si>
    <t>CoW Swap inside Safe App; correlated token pair selected (e.g. USDC/DAI, USDC/USDT)</t>
  </si>
  <si>
    <t>1. Open CoW Swap inside Safe App
2. Select a correlated token pair (stablecoin↔stablecoin)
3. Observe fee fields</t>
  </si>
  <si>
    <t>1. Safe App License Fee NOT shown for correlated pairs
2. fee section shows 'Free' or standard network costs only</t>
  </si>
  <si>
    <t xml:space="preserve">Per spec: 'Fees not set to correlated token pairs'
correlated assets listed in https://cms.cow.fi/admin/content-manager/collection-types/api::correlated-token.correlated-token?page=1&amp;pageSize=10&amp;sort=name:ASC </t>
  </si>
  <si>
    <t>SW-10</t>
  </si>
  <si>
    <t>Bundling: Safe App — 'Approve + Swap' in single Safe TX</t>
  </si>
  <si>
    <t>CoW Swap inside Safe App; ERC-20 token with no prior approval</t>
  </si>
  <si>
    <t>1. Select unapproved ERC-20 sell token inside Safe App
2. Observe action button area
3. Verify 'Token bundling' banner shown
4. Click 'Approve + Swap'
5. Check Safe TX queue</t>
  </si>
  <si>
    <t>1. Both approval and swap bundled into single Safe TX
2. 'Approve + Swap' button shown
3. one TX in Safe queue (not two separate)
4. both signers approve once</t>
  </si>
  <si>
    <t>Safe App context supports bundling. Contrast with SW-13 for WC context</t>
  </si>
  <si>
    <t>SW-11</t>
  </si>
  <si>
    <t>Bundling: WC-connected Safe — separate approval TX required</t>
  </si>
  <si>
    <t>Safe connected via WalletConnect; ERC-20 token with no prior approval</t>
  </si>
  <si>
    <t>1. Connect Safe via WC
2. Select unapproved ERC-20 sell token
3. Observe action button — check if bundling banner appears
4. Complete approval flow</t>
  </si>
  <si>
    <t>SW-12</t>
  </si>
  <si>
    <t>Bundling: Rabby + Safe — verify whether bundling is supported</t>
  </si>
  <si>
    <t>Safe imported in Rabby; unapproved ERC-20 sell token</t>
  </si>
  <si>
    <t>1. Connect via Rabby with imported Safe account
2. Select unapproved token
3. Observe action button and bundling banner presence</t>
  </si>
  <si>
    <t>1. Bundling NOT available via WC connection
2. 'Allow CoW Swap to use your token' button shown (not Approve+Swap)
3. separate approval TX required before swap can proceed</t>
  </si>
  <si>
    <t>SW-13</t>
  </si>
  <si>
    <t>TX deadline: Safe SC wallet max deadline = 720 min</t>
  </si>
  <si>
    <t>Safe wallet connected (any method); Settings open</t>
  </si>
  <si>
    <t>1. Connect Safe wallet
2. Open Settings → TX deadline
3. Check maximum allowed deadline
4. Compare to EOA max (180 min)</t>
  </si>
  <si>
    <t>1. Max deadline = 720 min for SC wallets vs 180 min for EOA
2. value above 720 rejected or clamped
3. default = 30 min unchanged</t>
  </si>
  <si>
    <t>SW-14</t>
  </si>
  <si>
    <t>ETH-flow: bundling</t>
  </si>
  <si>
    <t>The app is opened inside Safe or connected to app using WC</t>
  </si>
  <si>
    <t>1. Select ETH as sell token with Safe
2. Press on the "Wrap ETH and Swap button'</t>
  </si>
  <si>
    <t>Both wrapping, approval (if needed) and swap bundled into single Safe TX</t>
  </si>
  <si>
    <t>SW-15</t>
  </si>
  <si>
    <t>ETH-flow: Safe uses wrap-WETH instead of native ETH-flow</t>
  </si>
  <si>
    <t>Safe wallet connected (any method); ETH in Safe</t>
  </si>
  <si>
    <t>1. Select ETH as sell token with Safe connected via Rabby or connected to iOS safe app
2. Observe flow shown — should be wrap-WETH, not ETH-flow
3. Wrap ETH → WETH via Safe TX
4. Swap WETH as normal ERC-20</t>
  </si>
  <si>
    <t>1. ETH-flow NOT used for SC wallets
2. 'Wrap your ETH' section shown
3. wrapping creates Safe TX in queue
4. after WETH received, swap proceeds as ERC-20 order</t>
  </si>
  <si>
    <t>SW-16</t>
  </si>
  <si>
    <t>TWAP: requires Safe with ExtensibleFallbackHandler not  installed</t>
  </si>
  <si>
    <t xml:space="preserve">1. Connect Safe without fallback handler </t>
  </si>
  <si>
    <t>Warning on the form is displayed to set up the FB handler
A user needs to check the box before proceeding with an order
Setting up the handler is included into the bundle along with TWAP order placement TX</t>
  </si>
  <si>
    <t>Smart Account Tests</t>
  </si>
  <si>
    <t>CoW Swap  |  swap.cow.fi  |  SmartAccounts</t>
  </si>
  <si>
    <t>SA-01</t>
  </si>
  <si>
    <t>MetaMask Smart Account: detected as EOA wallet in CoW Swap</t>
  </si>
  <si>
    <t>MetaMask extension with Smart Account (ERC-4337 based) enabled; account selected in MetaMask</t>
  </si>
  <si>
    <t>1. Open MetaMask and switch to Smart Account
2. Connect to swap.cow.fi
3. Observe how CoW Swap classifies the wallet type</t>
  </si>
  <si>
    <t>1. CoW Swap treats MetaMask Smart Account as a regular EOA wallet
2. no SC wallet UI shown
3. standard EOA swap flow available
4. ETH-flow (native ETH orders) accessible</t>
  </si>
  <si>
    <t>MM Smart Accounts are handled as regular EOA wallets — they appear as injected provider with EOA-like interface</t>
  </si>
  <si>
    <t>SA-02</t>
  </si>
  <si>
    <t>MetaMask Smart Account: off-chain order signing works (EIP-712)</t>
  </si>
  <si>
    <t>MetaMask Smart Account connected</t>
  </si>
  <si>
    <t>1. Connect MetaMask Smart Account
2. Place a market swap order
3. Observe signing prompt in MetaMask</t>
  </si>
  <si>
    <t>1. EIP-712 typed data signing prompt shown (same as regular EOA)
2. no Safe-style TX queue
3. order submitted as off-chain intent
4. signs like EOA</t>
  </si>
  <si>
    <t>SA-03</t>
  </si>
  <si>
    <t>MetaMask Smart Account: gasless permit available — same as EOA</t>
  </si>
  <si>
    <t>MetaMask Smart Account; permit-compatible ERC-20 sell token</t>
  </si>
  <si>
    <t>1. Connect MetaMask Smart Account
2. Select permit-compatible sell token (e.g. USDC)
3. Observe approval flow — gasless permit option should be offered
4. Sign the permit message
5. Verify no on-chain approval TX is submitted</t>
  </si>
  <si>
    <t>1. Gasless permit (EIP-2612) offered, same as regular EOA
2. off-chain permit signature works
3. no on-chain approval TX needed
4. same partial permit side-effect risk applies</t>
  </si>
  <si>
    <t>MM Smart Account treated as EOA for permit purposes. Warning about partial permit breaking other orders should appear in the same way as for EOA.</t>
  </si>
  <si>
    <t>SA-04</t>
  </si>
  <si>
    <t>MetaMask Smart Account: ETH-flow accessible</t>
  </si>
  <si>
    <t>MetaMask Smart Account connected; ETH balance &gt; 0</t>
  </si>
  <si>
    <t>1. Select ETH as sell token with MetaMask Smart Account
2. Observe flow — should be ETH-flow, not wrap-WETH</t>
  </si>
  <si>
    <t>1. Native ETH-flow available (not wrap-WETH fallback)
2. UI does not show 'Wrap your ETH' section for SC wallet
3. order submitted on-chain as ETH-flow</t>
  </si>
  <si>
    <t>EOA treatment means ETH-flow is available, unlike Safe/Base SC wallets which must wrap first</t>
  </si>
  <si>
    <t>SA-05</t>
  </si>
  <si>
    <t>MetaMask Smart Account: TWAP tab shows 'create Safe' prompt</t>
  </si>
  <si>
    <t>1. Navigate to TWAP tab with MetaMask Smart Account</t>
  </si>
  <si>
    <t>TWAP form shows 'Unsupproted wallet'</t>
  </si>
  <si>
    <t>MM Smart Accounts do not satisfy TWAP's Safe requirement</t>
  </si>
  <si>
    <t>SA-06</t>
  </si>
  <si>
    <t>MetaMask Smart Account: TX deadline max = 180 min (EOA limit)</t>
  </si>
  <si>
    <t>MetaMask Smart Account connected; Settings open</t>
  </si>
  <si>
    <t>1. Open Settings → TX deadline
2. Check max value</t>
  </si>
  <si>
    <t>1. Max TX deadline = 180 min (EOA limit, not 720 min SC limit)
2. consistent with EOA treatment</t>
  </si>
  <si>
    <t>SA-07</t>
  </si>
  <si>
    <t>Base Smart Account: detected as SC wallet in CoW Swap</t>
  </si>
  <si>
    <t>Coinbase Wallet with Base Smart Account (ERC-4337) enabled; connected to swap.cow.fi</t>
  </si>
  <si>
    <t>1. Connect Coinbase Wallet with Base Smart Account active
2. Observe how CoW Swap classifies the wallet</t>
  </si>
  <si>
    <t>1. CoW Swap detects Base Smart Account as SC wallet
2. SC wallet UI behaviors applied: no ETH-flow, wrap-WETH required, no gasless permit, TX deadline max = 720 min, '+gas' in Network costs</t>
  </si>
  <si>
    <t>Base Smart Accounts act as SC wallets — same class as Safe but different provider</t>
  </si>
  <si>
    <t>SA-08</t>
  </si>
  <si>
    <t>Base Smart Account: ETH requires wrap-WETH flow</t>
  </si>
  <si>
    <t>Base Smart Account connected; ETH balance &gt; 0</t>
  </si>
  <si>
    <t>1. Select ETH as sell token
2. Observe UI</t>
  </si>
  <si>
    <t>1. 'Wrap your ETH' section shown
2. native ETH-flow NOT available
3. must wrap ETH → WETH before swapping
4. same as Safe SC wallet ETH handling</t>
  </si>
  <si>
    <t>SA-09</t>
  </si>
  <si>
    <t>Base Smart Account: gasless permit NOT available</t>
  </si>
  <si>
    <t>Base Smart Account connected; permit-compatible ERC-20 selected</t>
  </si>
  <si>
    <t>1. Select a permit-compatible token (e.g. USDC)
2. Observe approval UI</t>
  </si>
  <si>
    <t>1. No gasless permit option offered
2. standard on-chain approval TX required
3. no EIP-2612 permit signing prompt</t>
  </si>
  <si>
    <t>SC wallets cannot sign EIP-712 permits — applies to Base Smart Accounts too</t>
  </si>
  <si>
    <t>SA-10</t>
  </si>
  <si>
    <t>Base Smart Account: bundling (Approve+Swap) supported</t>
  </si>
  <si>
    <t>Base Smart Account; unapproved ERC-20 sell token</t>
  </si>
  <si>
    <t>1. Connect Base Smart Account
2. Select unapproved ERC-20
3. Observe action button</t>
  </si>
  <si>
    <t>User needs to approve a token first, then place an order</t>
  </si>
  <si>
    <t>SA-11</t>
  </si>
  <si>
    <t>Base Smart Account: TX deadline max = 720 min (SC wallet limit)</t>
  </si>
  <si>
    <t>Base Smart Account connected; Settings open</t>
  </si>
  <si>
    <t>1. Max TX deadline = 720 min (SC wallet limit)
2. not limited to 180 min EOA limit</t>
  </si>
  <si>
    <t>SA-12</t>
  </si>
  <si>
    <t>Base Smart Account: TWAP availability</t>
  </si>
  <si>
    <t>Base Smart Account connected</t>
  </si>
  <si>
    <t>1. Navigate to TWAP tab
2. Check whether TWAP is available or what prompt is shown</t>
  </si>
  <si>
    <t>Expected: TWAP not available for Base SA (Safe-specific feature); document actual prompt shown</t>
  </si>
  <si>
    <t>Market Orders (Swap) Tests</t>
  </si>
  <si>
    <t>CoW Swap  |  swap.cow.fi  |  MarketOrders</t>
  </si>
  <si>
    <t>MO-01</t>
  </si>
  <si>
    <t>Sell order: ERC-20 → ETH</t>
  </si>
  <si>
    <t>EOA wallet connected; USDC balance &gt; 0</t>
  </si>
  <si>
    <t>1. Select USDC as sell token, ETH as buy token
2. Enter sell amount
3. Approve if needed
4. Click Swap and sign</t>
  </si>
  <si>
    <t>1. Order submitted off-chain
2. appears in open orders with status Open</t>
  </si>
  <si>
    <t>MO-02</t>
  </si>
  <si>
    <t>Sell order: ERC-20 → ERC-20</t>
  </si>
  <si>
    <t>EOA wallet; USDC balance &gt; 0</t>
  </si>
  <si>
    <t>1. Select USDC → WETH
2. Enter amount
3. Approve token if needed
4. Swap and sign</t>
  </si>
  <si>
    <t>MO-03</t>
  </si>
  <si>
    <t>Buy order: specify exact buy amount (ERC-20)</t>
  </si>
  <si>
    <t>EOA wallet; sufficient sell token balance; buy order type selected in UI</t>
  </si>
  <si>
    <t>2. Select USDC as sell token, WETH as buy token
3. Enter exact buy amount (e.g. 0.5 WETH)
4. Observe 'From (incl. costs)' sell amount calculated
5. Check  Maximum sent amount (Receive incl. costs + Slippage)
6. Place order</t>
  </si>
  <si>
    <t>MO-04</t>
  </si>
  <si>
    <t>Buy order: approval amount includes slippage buffer</t>
  </si>
  <si>
    <t>token not yet approved</t>
  </si>
  <si>
    <t>1. Specify a buy order for token X
2. Observe the approval prompt amount
3. Compare approval amount to 'From (incl. costs)' + slippage %</t>
  </si>
  <si>
    <t>Approval amount = Maximum sent amount = Receive (incl. costs) + slippage buffer+1%</t>
  </si>
  <si>
    <t>MO-05</t>
  </si>
  <si>
    <t>Buy order: ETH as sell token (ETH-flow buy not supported)</t>
  </si>
  <si>
    <t>ETH-flow context (ETH as sell token, EOA wallet)</t>
  </si>
  <si>
    <t>1. Select ETH as sell token
2. Attempt to switch to Buy order mode</t>
  </si>
  <si>
    <t>1. Buy field is disabled for ETH-flow
2. only Sell order type available</t>
  </si>
  <si>
    <t>ETH-flow is sell-only per spec</t>
  </si>
  <si>
    <t>MO-06</t>
  </si>
  <si>
    <t>Swap form: To field amount calculation</t>
  </si>
  <si>
    <t>Both tokens selected; sell amount entered</t>
  </si>
  <si>
    <t>1. Enter sell amount (e.g. 100 USDC)
2. Observe To field
3. Verify: To amount = Sell amount × Price (from BE)
4. Verify USD estimation shown for both fields
5. Verify price impact shown near USD estimation with tooltip 'Price impact due to current liquidity levels'</t>
  </si>
  <si>
    <t>1. To amount = Sell amount × Price (e.g. if price of 1 ETH = 16 GNO, selling 1 ETH shows 16 GNO)
2. USD estimations present
3. price impact % shown</t>
  </si>
  <si>
    <t>Per spec: 'Amount in the To field = Sell amount × Price'</t>
  </si>
  <si>
    <t>MO-07</t>
  </si>
  <si>
    <t>Swap form: 'Receive (incl. costs)' field calculation</t>
  </si>
  <si>
    <t>Quote loaded with non-zero fee and network costs</t>
  </si>
  <si>
    <t>1. Load a swap quote
2. Hover over 'Receive (incl. costs)' tooltip
3. Verify tooltip grid shows: Before costs, Network costs, Fee, TO value
4. Verify: Receive (incl. costs) = To amount − Network costs − Fee</t>
  </si>
  <si>
    <t>1. Tooltip shows calculation breakdown
2. TO = Before costs − Network costs
3. Receive (incl. costs) matches formula
4. values consistent with Network costs (est.) field</t>
  </si>
  <si>
    <t>Per spec: 'Calculated as Receive amount − Network costs − fee'</t>
  </si>
  <si>
    <t>MO-08</t>
  </si>
  <si>
    <t>Swap form: 'Minimum receive' calculation in Confirm modal</t>
  </si>
  <si>
    <t>Swap confirm modal open</t>
  </si>
  <si>
    <t>1. Proceed to Confirm Swap modal
2. Note 'Expected to receive' value
3. Note slippage % in settings
4. Verify 'Minimum receive' = Expected to receive × (1 − slippage% / 100)</t>
  </si>
  <si>
    <t>1. Minimum receive = Expected to receive × (1 − slippage/100)
2. field shown read-only
3. value updates when slippage changes</t>
  </si>
  <si>
    <t>Per spec: 'Minimum receive = Expected to receive × (1 − slippage%/100)'</t>
  </si>
  <si>
    <t>MO-09</t>
  </si>
  <si>
    <t>Swap form: MAX button deducts 0.01 ETH for gas</t>
  </si>
  <si>
    <t>ETH selected as sell token; ETH balance &gt; 0.01, user is connected to EOA wallet</t>
  </si>
  <si>
    <t>1. Select ETH as sell token
2. Click MAX button
3. Observe the filled amount</t>
  </si>
  <si>
    <t>1. Amount = ETH balance − 0.01 (to cover gas costs)
2. not the full balance</t>
  </si>
  <si>
    <t>This does not apply to smart-contract wallets: max button preseletcs 100% of a native token</t>
  </si>
  <si>
    <t>MO-10</t>
  </si>
  <si>
    <t>Confirm modal: price update banner</t>
  </si>
  <si>
    <t>Confirm Swap modal open; quote refreshes while modal is open</t>
  </si>
  <si>
    <t>1. Open Confirm Swap modal
2. Wait for price to update
3. Observe banner
4. Click Accept on the banner</t>
  </si>
  <si>
    <t>1. 'Price updated' banner appears
2. Confirm Swap button disabled until Accept clicked
3. new price reflected after accepting</t>
  </si>
  <si>
    <t>MO-11</t>
  </si>
  <si>
    <t>ETH-flow: place ETH sell order (EOA wallet)</t>
  </si>
  <si>
    <t xml:space="preserve">EOA wallet connected; ETH balance &gt; 0; </t>
  </si>
  <si>
    <t>1. Select ETH as sell token, any ERC-20 as buy token
2. Enter ETH amount
3. Review form: From field (ETH amount + USD), To field (buy amount + USD + price impact), Receive (incl. costs), Price, Fee, Network costs, Slippage, Expiration
4. Click Swap
5. Sign the ON-CHAIN transaction in wallet</t>
  </si>
  <si>
    <t>1. ETH-flow order submitted on-chain (not off-chain intent)
2. status shows 'Creating' with TX creation hash
3. progresses to 'Open' once TX executes
4. ETH deducted from balance at Open state</t>
  </si>
  <si>
    <t>ETH-flow uses on-chain TX, not off-chain signature. SC wallets use classic wrap-WETH flow instead</t>
  </si>
  <si>
    <t>MO-12</t>
  </si>
  <si>
    <t>ETH-flow: SC wallet falls back to wrap-WETH flow</t>
  </si>
  <si>
    <t>Smart contract wallet (Safe via Rabby or Base smart wallet) connected; ETH balance &gt; 0</t>
  </si>
  <si>
    <t>1. Select ETH as sell token
2. Observe UI — 'Wrap your ETH' section should appear
3. Wrap ETH → WETH
4. Proceed with WETH swap as normal ERC-20</t>
  </si>
  <si>
    <t>1. SC wallet does not use ETH-flow
2. classic wrap-then-swap flow shown
3. no direct on-chain ETH order created</t>
  </si>
  <si>
    <t>MO-13</t>
  </si>
  <si>
    <t>ETH-flow: SC wallet: Safe+bundling</t>
  </si>
  <si>
    <t>Safe viz WC or the app inside Safe connected; ETH balance &gt; 0</t>
  </si>
  <si>
    <t>1. Select ETH as sell token, an amount to sell
2. Pick ERC 20 token to buy
3. verify the button</t>
  </si>
  <si>
    <t>1. SC wallet does not use ETH-flow
2. classic: it bundles wrap+approveWETH(if needed) and a swap in 1 transaction.</t>
  </si>
  <si>
    <t>MO-14</t>
  </si>
  <si>
    <t>ETH-flow: order status lifecycle</t>
  </si>
  <si>
    <t>ETH-flow order placed</t>
  </si>
  <si>
    <t>1. Submit ETH-flow order → verify status = 'Creating'; TX hash shown
2. Wait for TX to execute → verify status = 'Open'; ETH deducted; Explorer link appears
3. Wait for fill → verify status = 'Filled'; buy token in wallet; 3rd stepper circle green; cancel no longer possible</t>
  </si>
  <si>
    <t>1. Status transitions: Creating → Open → Filled
2. correct TX links at each step
3. ETH deducted at Open
4. buy token received at Filled</t>
  </si>
  <si>
    <t>MO-15</t>
  </si>
  <si>
    <t>ETH-flow: order submission TX fails</t>
  </si>
  <si>
    <t>Negative</t>
  </si>
  <si>
    <t>ETH-flow order submitted; TX fails on-chain</t>
  </si>
  <si>
    <t>1. Submit ETH-flow order
2. Simulate or observe a TX failure (e.g. gas too low)
3. Check order status and balance</t>
  </si>
  <si>
    <t>1. Status = 'Failed'
2. ETH NOT deducted (only TX costs)
3. stepper shown in red
4. cancel not possible
5. TX hash still linked</t>
  </si>
  <si>
    <t>MO-16</t>
  </si>
  <si>
    <t>ETH-flow: cancel order (on-chain cancellation)</t>
  </si>
  <si>
    <t>ETH-flow order in 'Open' or 'Creating' state</t>
  </si>
  <si>
    <t>1. Click cancel on open ETH-flow order
2. Confirm cancellation TX in wallet
3. Monitor status → 'Cancelling'
4. Wait for cancellation TX to mine → status 'Cancelled'</t>
  </si>
  <si>
    <t>1. 'Cancelling' state: ETH still deducted, cancellation TX link shown under 3rd stepper step
2. 'Cancelled' state: ETH NOT returned (only TX costs taken)
3. 2nd step shown in red</t>
  </si>
  <si>
    <t>ETH cancellation is on-chain. Cancelled ETH is NOT refunded — only TX gas costs</t>
  </si>
  <si>
    <t>MO-17</t>
  </si>
  <si>
    <t>ETH-flow: order expired — ETH refunded</t>
  </si>
  <si>
    <t>ETH-flow order in Open state; TX deadline reached without fill</t>
  </si>
  <si>
    <t>1. Place ETH-flow order with short deadline
2. Let it expire without fill
3. Check status, balance, stepper</t>
  </si>
  <si>
    <t>1. Status = 'Expired'
2. ETH refunded to user balance (only TX costs taken)
3. refund TX link shown under 3rd stepper step
4. stepper shown in green</t>
  </si>
  <si>
    <t>Contrast with 'Failed' where ETH not refunded. Note known bug: https://github.com/cowprotocol/cowswap/issues/4153</t>
  </si>
  <si>
    <t>MO-18</t>
  </si>
  <si>
    <t>TX deadline: default value and limits (regular flow)</t>
  </si>
  <si>
    <t>EOA wallet connected; swap settings open</t>
  </si>
  <si>
    <t>1. Open Settings
2. Check TX deadline default value
3. Try setting below minimum (&lt; 2 min)
4. Try setting above maximum for EOA (&gt; 180 min)
5. Reconnect with SC wallet and verify max changes to 720 min</t>
  </si>
  <si>
    <t>1. Default = 30 min
2. min = 2 min (regular flow)
3. max EOA = 180 min
4. max SC wallet = 720 min
5. values outside range rejected or clamped</t>
  </si>
  <si>
    <t>Per spec. ETH-flow has different limits: min 10 min, max EOA 180 min, max SC 720 min</t>
  </si>
  <si>
    <t>MO-19</t>
  </si>
  <si>
    <t>TX deadline: ETH-flow specific limits</t>
  </si>
  <si>
    <t>ETH-flow active (ETH sell token, EOA wallet); settings open</t>
  </si>
  <si>
    <t>1. Open Settings with ETH-flow active
2. Check deadline default = 30 min
3. Try setting below 10 min
4. Try setting above 180 min (EOA)</t>
  </si>
  <si>
    <t>1. ETH-flow min = 10 min (not 2 min)
2. deadline field labeled as 'modified'
3. values outside range rejected</t>
  </si>
  <si>
    <t>Per spec: ETH-flow min = 10 min vs regular flow min = 2 min</t>
  </si>
  <si>
    <t>MO-20</t>
  </si>
  <si>
    <t>TX deadline: order expires after set deadline</t>
  </si>
  <si>
    <t>Order placed with short deadline (e.g. 2 min)</t>
  </si>
  <si>
    <t>1. Set TX deadline to minimum (2 min)
2. Place order
3. Do not fill — wait for deadline to pass
4. Check order status</t>
  </si>
  <si>
    <t>Order status changes to 'Expired' after deadline;</t>
  </si>
  <si>
    <t>~1 minute after real expiration</t>
  </si>
  <si>
    <t>MO-21</t>
  </si>
  <si>
    <t>TX deadline: inactive tab quote expiry message</t>
  </si>
  <si>
    <t>Quote loaded; tab left inactive for &gt; 2 minutes</t>
  </si>
  <si>
    <t>1. Load a swap quote
2. Leave the tab inactive for &gt; 2 minutes
3. Return to tab</t>
  </si>
  <si>
    <t>1. 'Quote expired. Refreshing…' message shown
2. refreshes within 10 seconds
3. if stuck &gt; 10 sec may indicate BE rate limiting</t>
  </si>
  <si>
    <t>MO-22</t>
  </si>
  <si>
    <t>Slippage: dynamic mode defaults and range (regular flow)</t>
  </si>
  <si>
    <t>Regular flow (ERC-20); settings open</t>
  </si>
  <si>
    <t>1. Open Settings → Slippage
2. Verify dynamic is selected by default
3. Check dynamic range: min 0.5%, max dynamically up to 50%
4. Observe slippage auto-adjusts based on network conditions</t>
  </si>
  <si>
    <t>1. Dynamic slippage selected by default
2. min = 0.5%
3. max = 50%
4. adjusts automatically
5. info banner 'Slippage adjusted to X% to ensure quick execution' appears when dynamic value &gt; 2%</t>
  </si>
  <si>
    <t>MO-23</t>
  </si>
  <si>
    <t>Slippage: manual mode — warnings at thresholds</t>
  </si>
  <si>
    <t>Regular flow; settings in manual slippage mode</t>
  </si>
  <si>
    <t>1. Switch to manual slippage
2. Enter 0% → verify behavior
3. Enter 50% → verify accepted as max
4. Try entering 51% → verify rejected</t>
  </si>
  <si>
    <t>1. 0.0% threshold: 'With low slippage, your transaction may expire.
' warning
2. &gt;1% threshold: 'With high slippage, you may not get the best price.' warning
3. max = 50%
4. if dynamic disabled, 0.5% applied as default
5. 'recommended' label appears near value when dynamic is off</t>
  </si>
  <si>
    <t>Per spec: regular flow manual slippage</t>
  </si>
  <si>
    <t>MO-24</t>
  </si>
  <si>
    <t>Slippage: ETH-flow defaults and limits</t>
  </si>
  <si>
    <t>ETH-flow active; settings open</t>
  </si>
  <si>
    <t>1. Open Settings with ETH selected
4. Try setting below chain minimum
5. Try setting above 50%</t>
  </si>
  <si>
    <t>Min 0,5%, max 50%</t>
  </si>
  <si>
    <t>MO-25</t>
  </si>
  <si>
    <t>Custom recipient: send swap output to different address</t>
  </si>
  <si>
    <t>Wallet connected; custom recipient field enabled in settings</t>
  </si>
  <si>
    <t>1. Open Settings → enable Custom recipient
2. Enter a valid Ethereum address different from connected wallet
3. Place a swap order
4. On Confirm modal: verify warning about custom recipient is shown above Confirm button
5. Confirm and sign</t>
  </si>
  <si>
    <t>1. Buy tokens received at the custom recipient address, not the connected wallet
2. warning displayed on confirm modal
3. order placed successfully</t>
  </si>
  <si>
    <t>MO-26</t>
  </si>
  <si>
    <t>Custom recipient: field validation — invalid address</t>
  </si>
  <si>
    <t>Custom recipient field visible</t>
  </si>
  <si>
    <t>1. Enter a non-address string (e.g. 'abc123')
2. Enter a partial address
3. Enter an address with wrong checksum
4. Observe field state</t>
  </si>
  <si>
    <t>1. Recipient field value highlighted in red/error
2. 'Enter a valid recipient' error message displayed
3. Swap button disabled while invalid</t>
  </si>
  <si>
    <t>Per spec: 'The recipient field's value is highlighted; Enter a valid recipient is displayed'</t>
  </si>
  <si>
    <t>MO-27</t>
  </si>
  <si>
    <t>Custom recipient: cross-chain prefix warning</t>
  </si>
  <si>
    <t>Connected to Ethereum Mainnet; custom recipient field open</t>
  </si>
  <si>
    <t>1. Enter a recipient address with a different chain prefix (e.g. 'base:0x...' while connected to Ethereum)
2. Observe warning near the recipient field</t>
  </si>
  <si>
    <t>1. Additional warning displayed near recipient field: recipient prefix differs from connected chain
2. does not block swap but warns user</t>
  </si>
  <si>
    <t>Per spec: 'E.g. you are connected to Ethereum, but insert a recipient address like base:address'</t>
  </si>
  <si>
    <t>MO-28</t>
  </si>
  <si>
    <t>Custom recipient: ENS name resolution</t>
  </si>
  <si>
    <t>Connected to Ethereum Mainnet (ENS supported); custom recipient enabled</t>
  </si>
  <si>
    <t>1. Enter a valid ENS name (e.g. 'vitalik.eth') in recipient field
2. Observe resolution</t>
  </si>
  <si>
    <t>1. ENS name resolved to 0x address
2. resolved address shown
3. no error state
only on Ethreum and sepolia</t>
  </si>
  <si>
    <t>MO-29</t>
  </si>
  <si>
    <t>Insufficient balance: error on swap form and unfillable label in Account modal</t>
  </si>
  <si>
    <t>Wallet connected with known token balances</t>
  </si>
  <si>
    <t>1. Select a sell token
2. Enter amount greater than wallet balance
3. Observe UI</t>
  </si>
  <si>
    <t>1. 'Insufficient [Token] balance' error displayed on swap form
2. Swap button disabled
3. if an open order exists for the same token and balance drops below order amount, the order is labeled unfillable in the Account modal order list</t>
  </si>
  <si>
    <t>MO-30</t>
  </si>
  <si>
    <t>Token not approved (non-permittable, no bundling): approval button shown, order unfillable in Account modal</t>
  </si>
  <si>
    <t>ERC-20 sell token with no existing approval; wallet does not support bundling</t>
  </si>
  <si>
    <t>1. Select an ERC-20 sell token with zero approval
2. Enter swap amount
3. Observe action button state</t>
  </si>
  <si>
    <t>1. 'Allow CoW Swap to use your token' button shown on swap form
2. Swap button disabled until approved
3. any open order for this token shown as unfillable in Account modal due to insufficient allowance
4. for buy orders approval amount = Receive (incl. costs) + slippage</t>
  </si>
  <si>
    <t>Per spec</t>
  </si>
  <si>
    <t>MO-31</t>
  </si>
  <si>
    <t>Token not approved — bundling supported: Approve+Swap button shown</t>
  </si>
  <si>
    <t>ERC-20 sell token with no approval; wallet supports bundling (e.g. Safe )</t>
  </si>
  <si>
    <t>1. Select unapproved ERC-20 token
2. Observe UI — 'Token bundling' banner should appear
3. Verify 'Approve + Swap' button shown</t>
  </si>
  <si>
    <t>1. 'Approve + Swap' button displayed
2. token bundling banner shown above action button
3. both approval and swap sent to wallet in one go
4. open orders for this token shown as unfillable in Account modal until approval completes</t>
  </si>
  <si>
    <t>MO-32</t>
  </si>
  <si>
    <t>Fee ≥ 30% of sell amount: red banner with 'Swap anyways' checkbox</t>
  </si>
  <si>
    <t>Trade with very small sell amount relative to network costs</t>
  </si>
  <si>
    <t>1. Enter a very small sell amount so network fees ≥ 30% of sell value
2. Observe banner and button state</t>
  </si>
  <si>
    <t>1. Red banner displayed
2. 'Swap anyways' checkbox shown unchecked
3. Swap button disabled until checkbox checked
4. red read-only banner also shown on Confirm modal</t>
  </si>
  <si>
    <t>Per spec: fee thresholds 30%=red, 20%=orange, 10%=yellow</t>
  </si>
  <si>
    <t>MO-33</t>
  </si>
  <si>
    <t>Fee ≥ 20% orange banner, fee ≥ 10% yellow banner</t>
  </si>
  <si>
    <t>Trade amounts triggering fee thresholds</t>
  </si>
  <si>
    <t>1. Enter amount where fee is 20–29% of sell value → observe orange banner
2. Enter amount where fee is 10–19% → observe yellow banner
3. In both cases verify 'Swap anyways' checkbox and button behavior</t>
  </si>
  <si>
    <t>1. Orange banner at ≥20%
2. yellow banner at ≥10%
3. each requires user to check 'Swap anyways' box to enable Swap button
4. corresponding read-only banner shown on Confirm modal</t>
  </si>
  <si>
    <t>MO-34</t>
  </si>
  <si>
    <t>Sell amount too small to cover min fee: error shown</t>
  </si>
  <si>
    <t>Very small sell amount entered</t>
  </si>
  <si>
    <t>1. Enter a tiny sell amount (e.g. 0.0001 USDC)
2. Observe error</t>
  </si>
  <si>
    <t>1. Error message displayed: sell amount not enough to cover minimum fee
2. Network costs (est.) field shown above the error with min trade amount</t>
  </si>
  <si>
    <t>Per spec: 'Error is displayed when sell amount is not enough to cover a min fee'</t>
  </si>
  <si>
    <t>MO-35</t>
  </si>
  <si>
    <t>TWAP suggestion banner for large high-impact orders</t>
  </si>
  <si>
    <t>User has balance; large order (&gt;$50k Mainnet / &gt;$500 other chains); price impact &gt; 1%</t>
  </si>
  <si>
    <t>1. On Mainnet: enter sell amount &gt; $50,000 USD equivalent
2. Ensure price impact &gt; 1%
3. Observe banner</t>
  </si>
  <si>
    <t>1. 'Minimize price impact with TWAP' banner displayed
2. thresholds: Mainnet $50k, Gnosis/Arbitrum/Base $500, Sepolia $100</t>
  </si>
  <si>
    <t>Per spec thresholds</t>
  </si>
  <si>
    <t>MO-36</t>
  </si>
  <si>
    <t>Error: no liquidity / token not supported</t>
  </si>
  <si>
    <t>Token pair with no liquidity or unsupported token selected</t>
  </si>
  <si>
    <t>1. Select an obscure or unsupported token as sell or buy
2. Enter any amount</t>
  </si>
  <si>
    <t>1. 'Insufficient liquidity for this trade' error message displayed
2. Swap button disabled</t>
  </si>
  <si>
    <t>Same message for both 'token not supported' and 'no liquidity for pair' cases</t>
  </si>
  <si>
    <t>MO-37</t>
  </si>
  <si>
    <t>Error: price impact ≥ 5% — confirm price modal</t>
  </si>
  <si>
    <t>Trade with price impact ≥ 5% but &lt; 10%</t>
  </si>
  <si>
    <t>1. Set up trade with ≥5% price impact
2. Click 'Confirm Swap'
3. Observe additional confirmation modal</t>
  </si>
  <si>
    <t>1. Secondary 'Confirm price' modal appears after clicking Confirm Swap
2. wallet signing request only sent after user confirms this modal</t>
  </si>
  <si>
    <t>MO-38</t>
  </si>
  <si>
    <t>Error: price impact &gt; 10% — type 'Confirm' to proceed</t>
  </si>
  <si>
    <t>Trade with price impact &gt; 10%</t>
  </si>
  <si>
    <t>1. Set up trade with &gt;10% price impact
2. Click 'Confirm Swap'
3. In the additional modal, type 'Confirm' in the text field
4. Proceed</t>
  </si>
  <si>
    <t>1. Confirm price modal requires user to manually type 'Confirm' before proceeding
2. adds friction for high-impact trades</t>
  </si>
  <si>
    <t>MO-39</t>
  </si>
  <si>
    <t>Error: impossible to calculate price impact</t>
  </si>
  <si>
    <t>Token pair where inverse price cannot be fetched</t>
  </si>
  <si>
    <t>1. Select a token pair where price impact cannot be computed
2. Observe banner</t>
  </si>
  <si>
    <t>1. Yellow warning message displayed
2. 'Swap anyway' checkbox shown unchecked
3. Swap disabled until checkbox checked
4. read-only banner on Confirm modal</t>
  </si>
  <si>
    <t>MO-40</t>
  </si>
  <si>
    <t>Error: offline state</t>
  </si>
  <si>
    <t>Browser taken offline after app loaded</t>
  </si>
  <si>
    <t>1. Load swap.cow.fi normally
2. Disable network connection
3. Attempt to fetch a quote</t>
  </si>
  <si>
    <t>'Error loading price. You're currently offline' message displayed</t>
  </si>
  <si>
    <t>MO-41</t>
  </si>
  <si>
    <t>Error: unsupported network</t>
  </si>
  <si>
    <t>Wallet connected to unsupported chain (e.g. custom testnet)</t>
  </si>
  <si>
    <t>1. Switch wallet to unsupported network
2. Observe swap form</t>
  </si>
  <si>
    <t>1. Form fields empty and disabled
2. 'Unsupported network' message displayed</t>
  </si>
  <si>
    <t>MO-42</t>
  </si>
  <si>
    <t>Token approval: first-time ERC-20 approval</t>
  </si>
  <si>
    <t>No prior approval for sell token; wallet does not support bundling</t>
  </si>
  <si>
    <t>1. Select ERC-20 sell token with no approval
2. Enter amount
3. Click 'Allow CoW Swap to use your token'
4. Confirm approval TX in wallet</t>
  </si>
  <si>
    <t>1. Approval TX executed on-chain
2. Swap button becomes enabled</t>
  </si>
  <si>
    <t>MO-43</t>
  </si>
  <si>
    <t>Token approval: gasless approval (EIP-2612 permit)</t>
  </si>
  <si>
    <t>Sell token supports EIP-2612 permit (e.g. USDC, DAI on supported chains)</t>
  </si>
  <si>
    <t>1. Select permit-compatible sell token
2. Sign off-chain permit message (no gas)</t>
  </si>
  <si>
    <t>1. No approval TX mined
2. approval signed and is executed with first swap settlement
3. no gas charged for approval step</t>
  </si>
  <si>
    <t>MO-44</t>
  </si>
  <si>
    <t>Quote expiry: auto-refresh and countdown timer</t>
  </si>
  <si>
    <t>Quote displayed in swap form</t>
  </si>
  <si>
    <t>1. Load a quote
2. Observe countdown timer
3. Let timer reach zero</t>
  </si>
  <si>
    <t>1. Countdown timer visible
2. quote refreshes automatically
3. brief loading state
4. new quote shown without user action</t>
  </si>
  <si>
    <t>MO-45</t>
  </si>
  <si>
    <t>Order history: completed swap details correct</t>
  </si>
  <si>
    <t>At least one completed swap</t>
  </si>
  <si>
    <t>1. Navigate to order history / activity
2. Find the completed order
3. Verify all fields</t>
  </si>
  <si>
    <t>Order shows: token pair, sell amount, received amount, execution price, status (Filled), TX link to correct block explorer for current network</t>
  </si>
  <si>
    <t>MO-46</t>
  </si>
  <si>
    <t>Not connected state: Connect Wallet button shown</t>
  </si>
  <si>
    <t>No wallet connected</t>
  </si>
  <si>
    <t>1. Open swap.cow.fi without connecting wallet
2. Attempt to interact with swap form</t>
  </si>
  <si>
    <t>1. 'Connect Wallet' button displayed instead of Swap action button
2. if an error state also present, error shown instead of Connect Wallet button</t>
  </si>
  <si>
    <t>MO-47</t>
  </si>
  <si>
    <t>Wrap ETH → WETH via swap form</t>
  </si>
  <si>
    <t>EOA or SC wallet connected on Ethereum; ETH balance &gt; 0</t>
  </si>
  <si>
    <t>1. Select ETH as sell token, WETH as buy token
2. Enter amount to wrap
3. Observe action button — should show 'Wrap' not 'Swap'
4. Click Wrap
5. Confirm on-chain transaction in wallet</t>
  </si>
  <si>
    <t>1. On-chain Wrap TX submitted
2. WETH balance increases by wrapped amount
3. ETH balance decreases by same amount
4. no off-chain order created
5. no fee charged beyond gas</t>
  </si>
  <si>
    <t>Wrap is a special 1:1 on-chain operation, not a CoW Protocol order</t>
  </si>
  <si>
    <t>MO-48</t>
  </si>
  <si>
    <t>Unwrap WETH → ETH via swap form</t>
  </si>
  <si>
    <t>Wallet connected; WETH balance &gt; 0</t>
  </si>
  <si>
    <t>1. Select WETH as sell token, ETH as buy token
2. Enter amount to unwrap
3. Observe action button — should show 'Unwrap'
4. Click Unwrap
5. Confirm on-chain transaction in wallet</t>
  </si>
  <si>
    <t>1. On-chain Unwrap TX submitted
2. ETH balance increases by unwrapped amount
3. WETH balance decreases
4. 1:1 exchange rate, no slippage or protocol fee</t>
  </si>
  <si>
    <t>MO-49</t>
  </si>
  <si>
    <t>Wrap ETH → WETH: 1:1 rate, no price impact shown</t>
  </si>
  <si>
    <t>ETH → WETH pair selected</t>
  </si>
  <si>
    <t>1. Select ETH → WETH
2. Enter any amount
3. Observe price/fee/impact fields</t>
  </si>
  <si>
    <t>1.token amounts are  1:1
2. no price impact displayed
3. fee shown as zero or hidden
4. Receive (incl. costs) = sell amount exactly</t>
  </si>
  <si>
    <t>MO-50</t>
  </si>
  <si>
    <t>Wrap: SC wallet flow (wrap inside Safe)</t>
  </si>
  <si>
    <t>Safe wallet connected; ETH balance in Safe &gt; 0</t>
  </si>
  <si>
    <t>1. Select ETH → WETH inside CoW Swap (Safe App)
2. Click Wrap
3. Observe Safe TX queue</t>
  </si>
  <si>
    <t>1. Wrap transaction appears in Safe TX queue
2. requires threshold signatures
3. executes as on-chain WETH deposit</t>
  </si>
  <si>
    <t>SC wallets need on-chain TX for wrap, same as ETH-flow</t>
  </si>
  <si>
    <t>MO-51</t>
  </si>
  <si>
    <t>Buy order: 'From (incl. costs)' tooltip breakdown</t>
  </si>
  <si>
    <t>Buy order mode; quote loaded</t>
  </si>
  <si>
    <t>1. Place a buy order
2. Hover over 'From (incl. costs)' field
3. Inspect tooltip grid</t>
  </si>
  <si>
    <t>1. Tooltip shows: Before costs, Network costs, Fee, maximum From amount
2. values consistent with displayed fields</t>
  </si>
  <si>
    <t>Mirror of 'Receive (incl. costs)' tooltip for sell orders</t>
  </si>
  <si>
    <t>MO-52</t>
  </si>
  <si>
    <t>Sell vs Buy order: switching mode recalculates amounts</t>
  </si>
  <si>
    <t>Both tokens selected; amount entered</t>
  </si>
  <si>
    <t>1. Enter amount in Sell mode
2. Switch to Buy mode
3. Enter same numeric value in Buy field
4. Compare resulting opposite-side amounts</t>
  </si>
  <si>
    <t>1. Switching order type re-fetches quote
2. no stale quote used</t>
  </si>
  <si>
    <t>MO-53</t>
  </si>
  <si>
    <t>Approval: full approval — unlimited allowance</t>
  </si>
  <si>
    <t>ERC-20 sell token; no prior approval; wallet does not prompt for custom amount</t>
  </si>
  <si>
    <t>1. Select ERC-20 sell token with no approval
Select a full approval amount option
2. Click 'Allow CoW Swap to use your token'
3. Observe the approval amount in wallet confirmation
4. Confirm TX</t>
  </si>
  <si>
    <t>1. Full (unlimited / max uint256) approval granted by default
2. single approval TX covers all future trades of this token
3. spender = CoW Protocol contract address</t>
  </si>
  <si>
    <t>MO-54</t>
  </si>
  <si>
    <t>Approval: partial approval — exact trade amount only</t>
  </si>
  <si>
    <t>ERC-20 sell token; wallet or UI supports partial/exact approval amount</t>
  </si>
  <si>
    <t>1. Enable Partial approvals option in the settings (if not yet enabled)
2. select partial approval option after getting a quote
4. Confirm partial approval TX
5. Attempt another trade requiring more allowance</t>
  </si>
  <si>
    <t>1. Partial approval accepted
2. first trade executes within approved amount
3. second trade triggers new approval prompt because allowance insufficient
4. no silent failure — clear 'insufficient allowance' UI shown</t>
  </si>
  <si>
    <t>MO-55</t>
  </si>
  <si>
    <t>Approval: gasless permit — SC wallet falls back to on-chain approval</t>
  </si>
  <si>
    <t>Safe or other SC wallet connected; permit-compatible ERC-20 token selected</t>
  </si>
  <si>
    <t>1. Connect Safe wallet
2. Select permit-compatible ERC-20 (e.g. USDC)
3. Observe approval UI — gasless should NOT be offered (SC wallet cannot sign permits)
4. Verify on-chain approval flow shown instead</t>
  </si>
  <si>
    <t>1. No gasless/permit option shown for SC wallet
2. standard on-chain approval TX required
3. Safe TX created in queue for approval
4. no 'sign permit' prompt shown</t>
  </si>
  <si>
    <t>EIP-2612 permit requires EOA private key signing — SC wallets cannot do this</t>
  </si>
  <si>
    <t>MO-56</t>
  </si>
  <si>
    <t>Approval: allowance check before each swap</t>
  </si>
  <si>
    <t>Previously approved token; allowance partially consumed</t>
  </si>
  <si>
    <t>1. Previously gave partial approval for token X (e.g. 100 USDC)
2. Open CoW Swap with token X as sell token
3. Enter amount less than remaining allowance
4. Enter amount greater than remaining allowance</t>
  </si>
  <si>
    <t>1. For amount ≤ remaining allowance: no approval prompt
2. swap proceeds directly
3. for amount &gt; allowance: approval prompt shown with correct shortfall
4. current allowance displayed if possible</t>
  </si>
  <si>
    <t>MO-57</t>
  </si>
  <si>
    <t>Cancel market order: off-chain soft cancellation (EOA)</t>
  </si>
  <si>
    <t>EOA wallet; active market order with status 'Open' (not yet filled)</t>
  </si>
  <si>
    <t>1. Find open market order in orders table
2. Click ⋮ menu → Cancel
3. Sign off-chain cancellation message in wallet (no gas)</t>
  </si>
  <si>
    <t>1. Cancellation message signed off-chain
2. no gas TX
3. order status changes to 'Cancelling' then 'Cancelled'
4. solvers stop filling the order
5. no fee charged for cancellation</t>
  </si>
  <si>
    <t>Market orders are off-chain intents — cancellation is also off-chain for EOA. Race condition possible if fill happens simultaneously</t>
  </si>
  <si>
    <t>MO-58</t>
  </si>
  <si>
    <t>Cancel market order: race condition — order filled before cancel</t>
  </si>
  <si>
    <t>EOA wallet; open market order near its execution price</t>
  </si>
  <si>
    <t>1. Place market order at current market price
2. Immediately attempt to cancel
3. Observe outcome — may be filled or cancelled</t>
  </si>
  <si>
    <t>1. If order fills before cancellation is processed: status shows 'Filled' not 'Cancelled'
2. UI reflects actual outcome
3. no double-execution
4. clear status message explaining what happened</t>
  </si>
  <si>
    <t>Soft cancellation is best-effort — solvers may fill the order in the same batch before cancel is received</t>
  </si>
  <si>
    <t>MO-59</t>
  </si>
  <si>
    <t>Cancel market order: SC wallet — on-chain TX cancellation</t>
  </si>
  <si>
    <t>Safe or SC wallet; active market order</t>
  </si>
  <si>
    <t>1. Open orders table with Safe connected
2. Click cancel on open market order
3. Observe: Safe TX created in queue
4. Collect signatures and execute cancellation TX</t>
  </si>
  <si>
    <t>1. On-chain cancellation TX in Safe queue
2. requires threshold signatures
3. order cancelled on-chain with finality
4. gas paid for cancellation TX</t>
  </si>
  <si>
    <t>SC wallets always cancel on-chain</t>
  </si>
  <si>
    <t>MO-60</t>
  </si>
  <si>
    <t>Gasless permit: UI warning — partial permit may make other open orders unfillable</t>
  </si>
  <si>
    <t>EOA or MM Smart Account; permit-compatible sell token; at least one other open swap or limit order already exists for the same sell token</t>
  </si>
  <si>
    <t>1. Have an existing open swap or limit order for token X (signed with permit or on-chain approval)
2. Place a new swap or limit order for the same token X
3. When gasless permit approval is offered, observe the UI before signing
4. Check whether a warning is shown about potential impact on other open orders</t>
  </si>
  <si>
    <t>1. Warning section visible in the approval UI: gasless partial permit may reduce the effective allowance available to other open orders
2. warning explains that existing open orders using the same token may become unfillable if permit amount is less than their combined required amount
3. user can acknowledge and proceed or switch to on-chain approval instead</t>
  </si>
  <si>
    <t>MO-61</t>
  </si>
  <si>
    <t>Gasless partial permit: existing open swap order becomes unfillable</t>
  </si>
  <si>
    <t>EOA wallet; open market swap order for token X using permit-based allowance; new swap order placed for same token X with a partial permit amount smaller than what the existing order needs</t>
  </si>
  <si>
    <t xml:space="preserve">1. Place swap order A for 100 USDC using gasless permit (permit for 100 USDC signed)
2. Place swap order B for 70 USDC — sign a new gasless permit for exactly 50 USDC
3. wait till one of orders is executed
</t>
  </si>
  <si>
    <t xml:space="preserve">Another order becomes labeled as unfillable (insufficient allowance); </t>
  </si>
  <si>
    <t>The new partial permit effectively replaces the previous allowance for the solver. Order A was relying on the old permit; the new smaller permit breaks it.</t>
  </si>
  <si>
    <t>MO-62</t>
  </si>
  <si>
    <t>Gasless partial permit: existing open limit order becomes unfillable</t>
  </si>
  <si>
    <t>EOA wallet; open limit order for token X; new swap or limit order placed for same token X with partial gasless permit</t>
  </si>
  <si>
    <t>1. Place limit order for 200 USDC (permit signed for 200 USDC)
2. Place a new market swap for 50 USDC — sign gasless permit for 50 USDC only
3. Observe limit order status in orders table</t>
  </si>
  <si>
    <t>1. Limit order labeled unfillable due to insufficient allowance from the new partial permit
2. unfillable indicator shown
3. limit order not cancelled
4. limit order becomes fillable again once allowance is restored via on-chain approval</t>
  </si>
  <si>
    <t>MO-63</t>
  </si>
  <si>
    <t>Unfillable permit order: only on-chain approval restores fillability</t>
  </si>
  <si>
    <t>Order (swap or limit) in unfillable state due to insufficient permit allowance (broken by a subsequent partial permit)</t>
  </si>
  <si>
    <t>1. Start with order in unfillable state from MO-70 or MO-71
2. Attempt to fix by signing another gasless permit for the required amount
3. Observe whether order becomes fillable
4. Now use on-chain approval instead: click 'Allow CoW Swap to use your token' and confirm TX
5. Observe order status after on-chain approval TX is confirmed</t>
  </si>
  <si>
    <t>1. THERE IS ONLY ONe option to unblock the order: on-chain approval TX . after on-chain approval TX confirms, unfillable order becomes fillable again
2. unfillable indicator cleared
3. order eligible for execution at next batch</t>
  </si>
  <si>
    <t>On-chain approval sets ERC-20 allowance directly in contract state — not dependent on permit nonces or solver interpretation. This is the reliable path to unfreeze a permit-broken order.</t>
  </si>
  <si>
    <t>MO-64</t>
  </si>
  <si>
    <t>Permit availability: not offered for Safe, Base Smart Account, or SC wallets</t>
  </si>
  <si>
    <t>SC wallet connected (Safe via any method, or Base Smart Account); permit-compatible ERC-20 selected</t>
  </si>
  <si>
    <t>1. Connect Safe wallet (App, WC desktop, WC mobile, or Rabby+Safe)
2. Select permit-compatible ERC-20 sell token (e.g. USDC)
3. Observe approval options shown
4. Repeat with Base Smart Account connected</t>
  </si>
  <si>
    <t>1. Gasless permit option NOT offered for any SC wallet connection
2. only on-chain approval available
3. no EIP-712 permit signing prompt
4. applies to: Safe App, Safe via WC desktop, Safe via WC mobile, Safe in Rabby, Base Smart Account
5. does NOT apply to: EOA wallets, MetaMask Smart Account (those get permit option)</t>
  </si>
  <si>
    <t>Permit matrix: EOA ✓  MM Smart Account ✓  Safe (all modes) ✗  Base SA ✗</t>
  </si>
  <si>
    <t>MO-65</t>
  </si>
  <si>
    <t>Permit availability: offered for EOA and MetaMask Smart Account</t>
  </si>
  <si>
    <t>EOA wallet (MetaMask, Rabby EOA, etc.) or MetaMask Smart Account; permit-compatible ERC-20</t>
  </si>
  <si>
    <t>1. Connect standard EOA wallet
2. Select permit-compatible ERC-20
3. Verify gasless permit option shown
4. Disconnect; connect MetaMask Smart Account
5. Same token — verify gasless permit also offered</t>
  </si>
  <si>
    <t>1. Gasless permit option offered for both standard EOA and MetaMask Smart Account
2. both can sign EIP-712 permit messages
3. permit flow completes without gas TX for both wallet types</t>
  </si>
  <si>
    <t>MetaMask Smart Account is treated as EOA by CoW Swap for permit purposes</t>
  </si>
  <si>
    <t>MO-66</t>
  </si>
  <si>
    <t>Progress bar: regular order happy path — steps 1 → 2 → 3 → 4</t>
  </si>
  <si>
    <t>EOA wallet; valid market swap order ready to place</t>
  </si>
  <si>
    <t>1. Place a regular market swap order
2. Observe progress bar immediately after signing → Step 1 (Submitted)
3. Observe bar after order enters OPEN/ACTIVE state → Step 2 (Batching/Searching)
4. Observe bar when order reaches EXECUTING → Step 3 (Executing)
5. Observe bar when order is TRADED → Step 4 (Executed)</t>
  </si>
  <si>
    <t>1. Bar advances in order: Step 1 → 2 → 3 → 4
2. no step is skipped
3. no step is repeated
4. Step 4 shows filled confirmation with received amounts</t>
  </si>
  <si>
    <t>Progress bar steps: Step 1 = Initiated/Submitted; Step 2 = Batching/Searching (OPEN/ACTIVE); Step 3 = Executing (EXECUTING); Step 4 = Executed/Filled (TRADED). Bar must never move backward past the earliest step it has already reached, except for the defined retry step-back from Step 3 → Step 2.</t>
  </si>
  <si>
    <t>MO-67</t>
  </si>
  <si>
    <t>Progress bar: bar never regresses to Step 1 once past it</t>
  </si>
  <si>
    <t>Order placed; progress bar has advanced to Step 2 or beyond</t>
  </si>
  <si>
    <t>1. Place order; confirm bar reaches Step 2
2. Simulate or observe an OPEN status returned from backend while bar is at Step 2+
3. Observe whether bar moves back to Step 1</t>
  </si>
  <si>
    <t>1. Bar does NOT go back to Step 1 once it has left the initial state
2. OPEN status received after Step 2 keeps bar at Step 2 (still searching)
3. regression to Step 1 is a bug</t>
  </si>
  <si>
    <t>MO-68</t>
  </si>
  <si>
    <t>Progress bar: fast fill still shows Executing (Step 3) before Executed (Step 4)</t>
  </si>
  <si>
    <t>Order expected to fill very quickly (e.g. liquid pair, small amount)</t>
  </si>
  <si>
    <t>1. Place order that fills immediately
2. Watch progress bar closely — look for Step 3 (Executing)</t>
  </si>
  <si>
    <t>1. Even on very fast fills, bar shows Step 3 (Executing) briefly before Step 4 (Executed)
2. bar does NOT jump directly from Step 1 or Step 2 straight to Step 4
3. Step 3 is always shown, even if only momentarily</t>
  </si>
  <si>
    <t>MO-69</t>
  </si>
  <si>
    <t>Progress bar: ETH-flow order — full lifecycle, no regression to Step 1</t>
  </si>
  <si>
    <t>EOA wallet; ETH-flow order (native ETH sell)</t>
  </si>
  <si>
    <t>1. Place ETH-flow order (on-chain TX)
2. Observe bar at Step 1 (TX submitted)
3. Observe bar at Step 2 once TX executes and order is OPEN
4. Observe Step 3 (Executing) and Step 4 (Executed)
5. Verify bar never regresses to Step 1 after Step 2 reached</t>
  </si>
  <si>
    <t>1. ETH-flow bar follows same Step 1→2→3→4 sequence
2. bar does NOT return to Step 1 after advancing
3. TX hash shown under Step 1 throughout</t>
  </si>
  <si>
    <t>MO-70</t>
  </si>
  <si>
    <t>Progress bar: temporary allowance/balance lag does not show 'Price change' / unfillable screen</t>
  </si>
  <si>
    <t>Order placed; temporary approval/permit/bundled Safe approval lag occurs at the start</t>
  </si>
  <si>
    <t>1. Place order requiring approval (gasless permit or bundled Safe approval)
2. After approval/permit flow completes, observe progress bar
3. Check if 'Price change' or unfillable screen appears briefly</t>
  </si>
  <si>
    <t>1. Bar stays on normal batching/searching step (Step 2) after approval flow
2. temporary allowance or balance lag does NOT trigger the 'Price change' / unfillable screen
3. 'Price change' screen only appears for true price-derived unfillable cases (not lag)</t>
  </si>
  <si>
    <t>MO-71</t>
  </si>
  <si>
    <t>Progress bar: true price-change unfillable — 'Price change' screen shown correctly</t>
  </si>
  <si>
    <t>Order placed; market price moves significantly away from order quote before fill</t>
  </si>
  <si>
    <t>1. Place order
2. Market price moves significantly (order becomes genuinely unfillable due to price)
3. Observe progress bar state</t>
  </si>
  <si>
    <t>1. 'Price change' / unfillable screen shown in the progress bar for genuine price-derived unfillable
2. distinct from allowance/balance lag — this screen is only for true price change cases
3. user can take action (cancel or wait for price to return)</t>
  </si>
  <si>
    <t>MO-72</t>
  </si>
  <si>
    <t>Progress bar: stale delayed completion timer does not overwrite newer order state</t>
  </si>
  <si>
    <t>Order completes during a delayed completion timer window</t>
  </si>
  <si>
    <t>1. Place order; observe delayed completion staging
2. Before the delayed timer fires, cancel the order or order state changes
3. Observe: does the old delayed timer resurrect the stale state?</t>
  </si>
  <si>
    <t>1. Delayed completion timer does NOT overwrite newer order state (e.g. cancelled)
2. if order disappears from tracked state, timer does not recreate it
3. stale retained state self-prunes after grace period without requiring a rerender</t>
  </si>
  <si>
    <t>MO-73</t>
  </si>
  <si>
    <t>Progress bar: bridge order — bridge step persists during reconnect/reload</t>
  </si>
  <si>
    <t>Cross-chain order in bridge step (after swap phase complete); page reloaded or wallet reconnected</t>
  </si>
  <si>
    <t>1. Place cross-chain order; let swap phase complete → bar enters bridge step
2. Reload page or briefly disconnect/reconnect wallet
3. Observe progress bar after reconnect</t>
  </si>
  <si>
    <t>1. Bridge progress step preserved during reload/reconnect
2. bar does NOT move backward to Executing (Step 3) when bridge context briefly disappears
3. when bridge context returns, bar continues from correct bridge step</t>
  </si>
  <si>
    <t>MO-74</t>
  </si>
  <si>
    <t>Swap form: balances and USD estimations correct for tokens with different decimal precision</t>
  </si>
  <si>
    <t>Wallet connected on Ethereum Mainnet or Gnosis Chain; balances available in tokens with varying decimals: e.g. ETH (18), USDC (6), WBTC (8)</t>
  </si>
  <si>
    <t>1. Select ETH (18 dec) as sell token → enter amount → verify From USD estimation
2. Select USDC (6 dec) as buy token → verify To amount and USD estimation
3. Hover 'Receive (incl. costs)' tooltip → verify cost breakdown values consistent
4. Switch pair to WBTC (8 dec) sell → USDC (6 dec) buy → repeat checks
5. Verify wallet balance shown for each token matches on-chain balance at correct precision</t>
  </si>
  <si>
    <t>1. All USD estimations correct regardless of token decimal combination
2. wallet balance displayed with appropriate decimal places for each token
3. To amount = Sell amount × Price, correctly scaled across decimal mismatch
4. Receive (incl. costs) tooltip values consistent with form fields
5. no truncation, rounding errors, or off-by-decimal-place amounts</t>
  </si>
  <si>
    <t>Common precision combinations to cover: 18-decimal (ETH, WETH, DAI, COW) × 6-decimal (USDC, USDT) × 8-decimal (WBTC) × 0-decimal (MPS on Gnosis Chain). MPS (MetaPool Staking token) has 0 decimals — the smallest tradeable unit IS 1 whole token; no fractional amounts possible. USD estimations must use correct decimal scaling for each token.</t>
  </si>
  <si>
    <t>MO-75</t>
  </si>
  <si>
    <t>Swap form: 0-decimal token (MPS on Gnosis Chain) — balance, amounts, USD estimation</t>
  </si>
  <si>
    <t>Wallet connected on Gnosis Chain; MPS (0-decimal ERC-20) balance available in wallet</t>
  </si>
  <si>
    <t>1. Switch to Gnosis Chain
2. Select MPS as sell token
3. Observe balance display — should show whole integer, no decimal places
4. Enter sell amount (e.g. 1, 10, 100 MPS)
5. Attempt to enter fractional amount (e.g. 0.5 MPS)
6. Observe USD estimation for the sell amount
7. Select any buy token and verify buy amount calculated correctly
8. Select MPS as buy token in a different pair; verify buy amount shown as integer</t>
  </si>
  <si>
    <t>1. MPS balance shown as whole integer (no .000... suffix)
2. fractional input (0.5 MPS) rejected or rounded to nearest whole number with clear indication
3. USD estimation = integer amount × MPS price, no decimal shift errors
4. buy amount for MPS shown as integer
5. price field shows correct rate without decimal scaling artifacts</t>
  </si>
  <si>
    <t>MPS is a 0-decimal ERC-20 on Gnosis Chain. The UI must not allow fractional input (e.g. 0.5 MPS) and must display balance and amounts as whole integers. USD estimation must multiply by token price without decimal shifting errors.</t>
  </si>
  <si>
    <t>MO-76</t>
  </si>
  <si>
    <t>USDT approval: revoke-then-approve flow for market swap when existing allowance &lt; order amount (Ethereum)</t>
  </si>
  <si>
    <t>EOA wallet on Ethereum Mainnet; existing USDT allowance for CoW Protocol is non-zero but less than the order amount (e.g. 2 USDT approved, ordering 4 USDT)</t>
  </si>
  <si>
    <t>1. Connect EOA wallet on Ethereum Mainnet
2. Navigate to the Swap tab
3. Select USDT as sell token (verify existing allowance is 2 USDT)
4. Enter a sell amount that exceeds the existing allowance (e.g. 4 USDT)
5. Observe the approval UI — should show a 2-step approval flow, not a single approve
6. Click the approval action
7. Sign the first transaction (approve(0) to revoke existing allowance)
8. Wait for the revoke TX to confirm on-chain
9. Sign the second transaction (approve(amount) for the new amount)
10. Wait for the approve TX to confirm
11. Place the market swap as normal</t>
  </si>
  <si>
    <t>1. UI displays a 2-step approval flow specific to USDT (revoke first, then approve)
2. First TX is approve(0) sent to USDT contract — sets allowance to 0
3. Revoke TX confirms successfully on-chain
4. Second TX is approve(newAmount) — sets allowance to the required amount
5. Approve TX confirms successfully (does not fail like a single-step approve would)
6. Market swap can be placed and submitted normally after both TXs confirm
7. No 'approval failed' error encountered
8. Verify on revoke.cash that the final allowance equals the requested amount</t>
  </si>
  <si>
    <t>MO-77</t>
  </si>
  <si>
    <t>USDT approval: no revoke or approve needed for market swap when existing allowance ≥ order amount</t>
  </si>
  <si>
    <t>existing USDT allowance for CoW Protocol is zero or more than an order amount</t>
  </si>
  <si>
    <t>1. Connect EOA wallet on Ethereum Mainnet
2. Navigate to the Swap tab
3. Select USDT as sell token (verify existing allowance is e.g. 100 USDT)
4. Enter a sell amount ≤ existing allowance (e.g. 4 USDT)
5. Observe approval UI
6. Proceed with the market swap</t>
  </si>
  <si>
    <t>1. No approval prompt shown — existing allowance is sufficient
2. No revoke TX requested
3. No approve TX requested
4. Market swap proceeds directly to signing/placement
5. USDT allowance is not modified</t>
  </si>
  <si>
    <t>Verifies the 2-TX flow is correctly skipped when not needed. USDT-specific behavior should not impose unnecessary transactions.</t>
  </si>
  <si>
    <t>MO-78</t>
  </si>
  <si>
    <t>Swap form: protocol fee applied at 0.02% (2 bps) for standard token pair</t>
  </si>
  <si>
    <t>Wallet connected; standard non-correlated pair selected (e.g. WETH → USDC); sell amount entered</t>
  </si>
  <si>
    <t>1. Load a swap quote for a standard pair (WETH → USDC)
2. Hover 'Receive (incl. costs)' tooltip
3. Read the 'Protocol fee' line in the breakdown
4. Compute Protocol fee / Before costs</t>
  </si>
  <si>
    <t>1. Tooltip shows 'Protocol fee' row with a non-zero negative amount in the surplus (buy) token
2. Protocol fee ≈ Before costs × 0.0002 (2 bps)
3. 'To' = Before costs − Protocol fee − Network costs</t>
  </si>
  <si>
    <t>Per docs (Volume Fee, Standard Assets): Volume × 0.0002 = 0.02%. Fee charged in surplus token (buy token for sell orders). Validate against displayed 'Protocol fee' in the costs tooltip.</t>
  </si>
  <si>
    <t>MO-79</t>
  </si>
  <si>
    <t>Swap form: protocol fee applied at 0.003% (0.3 bps) for correlated assets (stables/RWAs)</t>
  </si>
  <si>
    <t>Wallet connected; correlated pair selected (e.g. USDC → USDT or DAI → USDC); sell amount entered</t>
  </si>
  <si>
    <t>1. Load a swap quote for a correlated pair (USDC → USDT)
2. Hover 'Receive (incl. costs)' tooltip
3. Read the 'Protocol fee' line
4. Compute Protocol fee / Before costs
5. Repeat with another stable/RWA correlated pair (e.g. DAI → USDC)</t>
  </si>
  <si>
    <t>1. Tooltip shows 'Protocol fee' row with a non-zero negative amount in the surplus token
2. Protocol fee ≈ Before costs × 0.00003 (0.3 bps)
3. Fee is ~6.67× smaller than the standard 0.02% tier on equivalent volume</t>
  </si>
  <si>
    <t>Per docs (Volume Fee, Correlated Assets — Stables/RWAs): Volume × 0.00003 = 0.003%. Pairs include stablecoin↔stablecoin and RWA pairs as classified by CoW Protocol.</t>
  </si>
  <si>
    <t>A4:F50</t>
  </si>
  <si>
    <t>B5</t>
  </si>
  <si>
    <t>B5:F15</t>
  </si>
  <si>
    <t>LO-01</t>
  </si>
  <si>
    <t>Place buy limit order</t>
  </si>
  <si>
    <t>Wallet connected; sufficient sell token balance</t>
  </si>
  <si>
    <t>1. Click 'Limit' tab
2. Set sell token, buy token
3. Enter an exact amount into the Buy token field
4. set a limit price
5. Click 'Place limit order'
6. Sign in wallet</t>
  </si>
  <si>
    <t>1. Limit order created
2. visible in open orders panel. Order type ia s Buy limit order (visible on the order receipt and on Explorer)</t>
  </si>
  <si>
    <t>LO-02</t>
  </si>
  <si>
    <t>Place sell limit order</t>
  </si>
  <si>
    <t>Wallet has ERC-20 balance</t>
  </si>
  <si>
    <t>1. Click 'Limit' tab
2. Set sell token, buy token
3. Enter an exact amount into the Sell token field
4. set a limit price
5. Click 'Place limit order'
6. Sign in wallet"</t>
  </si>
  <si>
    <t>1. Sell limit order placed
2. shown in orders table. Order type is a Sell limit order (visible on the order receipt and on Explorer)</t>
  </si>
  <si>
    <t>LO-03</t>
  </si>
  <si>
    <t>Partially fillable order execution</t>
  </si>
  <si>
    <t>Partial fill enabled (default)</t>
  </si>
  <si>
    <t>1. Place a limit order with amount &gt;balance, set a price below a market one
2. Check the order type in the order receipt
3. Check the order execution</t>
  </si>
  <si>
    <t>The order has 'partially filable' in its type. Same info if dsiplayed on Explorer
When an order is filled partially, the percentage is adjusted on the limit orders table. Order is still displayed in the Open tab unless it is Expires or cancelled</t>
  </si>
  <si>
    <t>LO-04</t>
  </si>
  <si>
    <t>Fill-or-kill order toggle</t>
  </si>
  <si>
    <t>Limit order panel open</t>
  </si>
  <si>
    <t>1. Open settings
2. Disable 'Partially fillable'
3. Place order</t>
  </si>
  <si>
    <t>The order has 'Fill or kill ' in its type. Same info if dsiplayed on Explorer</t>
  </si>
  <si>
    <t>Partial approvals (setting allowance to exact trade amount) are NOT supported for limit orders — full (unlimited) on-chain approval or gasless permit required. EOA and MM Smart Account: permit available. SC wallets: on-chain only.</t>
  </si>
  <si>
    <t>LO-05</t>
  </si>
  <si>
    <t>Cancel limit order</t>
  </si>
  <si>
    <t>Open limit order exists</t>
  </si>
  <si>
    <t>1. Locate order in open orders
2. Open burger menu for the order
3. click on cancel and confirm the action
3. Sign cancellation</t>
  </si>
  <si>
    <t>It is a soft cancellation. 
the order goes into the Cancelling state and them changes its status to 'Cancelled.', and moved to the History tab from Open
In case an order is already included into auction, the order stilll might be filled, so the status will be updated accordingly</t>
  </si>
  <si>
    <t>LO-06</t>
  </si>
  <si>
    <t>Limit order expiry (custom duration)</t>
  </si>
  <si>
    <t>1. Set order duration (e.g., 35 min)
2. Place order with a limit price that won't be filled
3. Wait for expiry</t>
  </si>
  <si>
    <t>1. Order expires after set duration
2. removed from open orders automatically</t>
  </si>
  <si>
    <t>Min custom duration is 30 minutes</t>
  </si>
  <si>
    <t>LO-07</t>
  </si>
  <si>
    <t>Surplus capture on limit order</t>
  </si>
  <si>
    <t>Market price better than limit price at fill time</t>
  </si>
  <si>
    <t>1. Place limit order below market
2. Observe fill price</t>
  </si>
  <si>
    <t>1. Fill price better than limit price
2. surplus forwarded to user</t>
  </si>
  <si>
    <t>LO-08</t>
  </si>
  <si>
    <t>'Executes at' traffic light indicator</t>
  </si>
  <si>
    <t>UI</t>
  </si>
  <si>
    <t>Open limit order panel</t>
  </si>
  <si>
    <t>1. View open orders
2. Check 'Executes at' column</t>
  </si>
  <si>
    <t>1. Green/yellow/red indicator shown
2. hover tooltip explains distance from execution</t>
  </si>
  <si>
    <t>LO-09</t>
  </si>
  <si>
    <t>Place limit order with 1-year expiry</t>
  </si>
  <si>
    <t>1. Set duration to max (1 year)
2. Place order</t>
  </si>
  <si>
    <t>Order accepted with 1-year validity</t>
  </si>
  <si>
    <t>LO-10</t>
  </si>
  <si>
    <t>Price displayed in USD toggle</t>
  </si>
  <si>
    <t>1. Toggle limit price display between native token and USD</t>
  </si>
  <si>
    <t>Price updates correctly in both modes without calculation errors</t>
  </si>
  <si>
    <t>LO-11</t>
  </si>
  <si>
    <t>Sell limit order: place with balance ≥ 1 gwei (minimum)</t>
  </si>
  <si>
    <t>Wallet has sell token balance ≥ 1 gwei; limit order tab active</t>
  </si>
  <si>
    <t>1. Select sell token with exactly 1 gwei balance (or smallest practical amount)
2. Enter sell amount &gt; balance
3. Set limit price
4. Place order</t>
  </si>
  <si>
    <t>Order is placed</t>
  </si>
  <si>
    <t>If a token balance is 0, order cannot be placed</t>
  </si>
  <si>
    <t>LO-12</t>
  </si>
  <si>
    <t>Sell limit order: place multiple orders with same balance</t>
  </si>
  <si>
    <t>Wallet has ERC-20 sell token; sufficient balance for multiple orders</t>
  </si>
  <si>
    <t xml:space="preserve">1. Place first limit sell order for 50% of balance at price X
2. Place3-4 more same orders
</t>
  </si>
  <si>
    <t>All orders are placed</t>
  </si>
  <si>
    <t>Unlimited order placement: same balance can back multiple concurrent orders</t>
  </si>
  <si>
    <t>LO-13</t>
  </si>
  <si>
    <t>Limit order: unfillable state — insufficient balance at execution time</t>
  </si>
  <si>
    <t>Active open limit order; sell token balance subsequently spent or reduced below order amount</t>
  </si>
  <si>
    <t>1. Place a fill or kill  limit sell order for 100 USDC
2. Transfer out or spend the USDC so balance drops below order amount
3. Observe order status / UI indicator</t>
  </si>
  <si>
    <t>1. Order marked as 'unfillable' or shows warning indicator
2. not immediately cancelled (it can become fillable again if balance is restored)
3. clear visual indicator in open orders table</t>
  </si>
  <si>
    <t>Order remains open but solver skips it until balance is restored</t>
  </si>
  <si>
    <t>LO-14</t>
  </si>
  <si>
    <t>Limit order: unfillable state — insufficient allowance</t>
  </si>
  <si>
    <t>Active limit order; token approval subsequently revoked (e.g. via revoke.cash)</t>
  </si>
  <si>
    <t>1. Place a limit order for an ERC-20
2. Revoke the token approval for CoW Protocol
3. Observe order status in the open orders table</t>
  </si>
  <si>
    <t>1. Order shown as unfillable due to insufficient allowance
2. warning displayed
3. order not cancelled automatically
4. re-approving token restores fillability</t>
  </si>
  <si>
    <t>LO-15</t>
  </si>
  <si>
    <t>Limit order: unfillable state resolves when balance restored</t>
  </si>
  <si>
    <t>Order in unfillable state due to low balance</t>
  </si>
  <si>
    <t>1. Start with order in unfillable state (from LO-16)
2. Top up sell token balance to cover order amount
3. Observe order status update</t>
  </si>
  <si>
    <t>1. Order returns to normal active state
2. unfillable indicator cleared
3. eligible for next batch execution when price is reached</t>
  </si>
  <si>
    <t>LO-16</t>
  </si>
  <si>
    <t>Orders table: navigate between Open, History tabs</t>
  </si>
  <si>
    <t>Wallet with orders in multiple states (open, filled, cancelled, expired)</t>
  </si>
  <si>
    <t>1. Place at least one open order and have at least one order in History (filled, cancelled, or expired)
2. Open the orders table
3. Click the OPEN tab
4. Click the ORDERS HISTORY tab
5. Verify each tab shows the correct subset of orders</t>
  </si>
  <si>
    <t>1. OPEN tab displays only currently open (active) orders
2. ORDERS HISTORY tab displays filled, cancelled, and expired orders
3. Tab switching is instant; no full page reload
4. Active tab is visually highlighted
5. Order counts match the actual orders for the connected wallet on the current chain</t>
  </si>
  <si>
    <t>LO-17</t>
  </si>
  <si>
    <t>Orders table: three-dot menu actions per order</t>
  </si>
  <si>
    <t>Active open order in orders table</t>
  </si>
  <si>
    <t>1. Hover over an open order row
2. Click the three-dot (⋮) menu
3. Verify available actions (Cancel, View on Explorer, order receipt.)</t>
  </si>
  <si>
    <t>1. Three-dot menu shows relevant actions for order state: 'order receipt,' 'Cancel' for open orders, 'View on Explorer' for any order
2. actions execute correctly when selected</t>
  </si>
  <si>
    <t>LO-18</t>
  </si>
  <si>
    <t>Orders table: order row shows current execution price</t>
  </si>
  <si>
    <t>Open limit order in orders table</t>
  </si>
  <si>
    <t>1. View open limit order in table
2. Check 'Executes at' column
3. Compare with set limit price</t>
  </si>
  <si>
    <t>1. Current execution price shown (not just limit price)
2. traffic light color reflects proximity to execution
3. hovering shows tooltip with how far price needs to move</t>
  </si>
  <si>
    <t>Per spec: traffic light system — green/yellow/red based on current network fees and market price</t>
  </si>
  <si>
    <t>LO-19</t>
  </si>
  <si>
    <t>Orders table: invert price display per order</t>
  </si>
  <si>
    <t>Open limit order visible in table</t>
  </si>
  <si>
    <t>1. Click on the 'Executes at' price field for a specific order
2. Observe price direction change</t>
  </si>
  <si>
    <t>1. Price display inverts for that individual order (e.g. ETH/USDC ↔ USDC/ETH)
2. hover text also reflects the inverted direction
3. other orders unaffected</t>
  </si>
  <si>
    <t>Per spec: 'Clicking on that field will invert the price display for the individual order'</t>
  </si>
  <si>
    <t>LO-20</t>
  </si>
  <si>
    <t>Cancel limit order: off-chain soft cancellation (EOA)</t>
  </si>
  <si>
    <t>EOA wallet; active limit order</t>
  </si>
  <si>
    <t>1. Locate open limit order in orders table
2. Click the ⋮ menu → 'Cancel order'
3. Sign the off-chain cancellation message in wallet (if available)
4. Observe order status</t>
  </si>
  <si>
    <t>1. Off-chain cancellation message signed
2. order status changes to 'Cancelling' then 'Cancelled'
3. no gas TX on-chain
4. immediate effect — solvers stop attempting to fill the order</t>
  </si>
  <si>
    <t>Off-chain cancellation is gas-free for EOA. SC wallets cannot do off-chain soft cancellation — they must use on-chain TX</t>
  </si>
  <si>
    <t>LO-21</t>
  </si>
  <si>
    <t>Cancel limit order: on-chain cancellation (EOA)</t>
  </si>
  <si>
    <t>1. Locate open limit order
2. Click cancel
3. Select on-chain cancellation option
4. Confirm and pay gas in wallet</t>
  </si>
  <si>
    <t>1. On-chain cancellation TX submitted
2. gas paid
3. order cancelled with on-chain guarantee
4. order moves to 'cancelling' state</t>
  </si>
  <si>
    <t>On-chain cancellation is final and cannot be front-run</t>
  </si>
  <si>
    <t>LO-22</t>
  </si>
  <si>
    <t>Cancel limit order: SC wallet — on-chain TX required (no soft cancel)</t>
  </si>
  <si>
    <t>Safe or other SC wallet; active limit order</t>
  </si>
  <si>
    <t>1. Open orders table with SC wallet connected
2. Click cancel on a limit order
3. Observe cancellation flow</t>
  </si>
  <si>
    <t>1. Only on-chain TX option available for SC wallets
2. Safe TX created in queue
3. requires threshold signatures
4. no off-chain soft cancellation available for SC wallets</t>
  </si>
  <si>
    <t>SC wallets cannot sign off-chain cancellation messages — on-chain is the only path</t>
  </si>
  <si>
    <t>LO-23</t>
  </si>
  <si>
    <t>Cancel all orders: EOA wallet — bulk cancel via UI</t>
  </si>
  <si>
    <t>EOA wallet; 3+ active limit orders open</t>
  </si>
  <si>
    <t>1. Navigate to the open orders table
2. Look for 'Cancel all' or bulk cancel option
3. Click Cancel all
4. Sign the cancellation (off-chain for all orders at once)</t>
  </si>
  <si>
    <t>1. 'Cancel all' option available for EOA wallets
2. all open limit orders cancelled in a single off-chain signing action
3. no per-order gas
4. all orders status → Cancelled (if not filled: the cancellation is a soft one)</t>
  </si>
  <si>
    <t>Cancel all is EOA-only feature using off-chain signatures. SC wallets must cancel each order individually via on-chain TX</t>
  </si>
  <si>
    <t>LO-24</t>
  </si>
  <si>
    <t>Cancel all orders: SC wallet — no bulk cancel available</t>
  </si>
  <si>
    <t>Safe or SC wallet; multiple active limit orders</t>
  </si>
  <si>
    <t>1. Open orders table with SC wallet connected
2. Check whether 'Cancel all' option is present</t>
  </si>
  <si>
    <t>1. 'Cancel all' option NOT available for SC wallets
2. each order must be cancelled individually via separate on-chain TXs
3. each cancellation requires threshold signatures in Safe</t>
  </si>
  <si>
    <t>LO-25</t>
  </si>
  <si>
    <t>Recreate limit order from expired or cancelled order</t>
  </si>
  <si>
    <t>At least one felled,  expired or cancelled limit order in history</t>
  </si>
  <si>
    <t>1. Navigate to order history (filled, Cancelled or Expired tab)
2. Locate a limit order
3. Click 'Recreate order' in the menu or on order receipt
4. Verify form is pre-filled with original order parameters
5. Adjust if needed and place the order</t>
  </si>
  <si>
    <t>1. Recreate option available on filled/expired/cancelled orders
2. clicking pre-fills the Limit order form with original: sell token, buy token, limit price, order type (sell/buy), fill mode
3. user can adjust before placing
4. new order placed as fresh order</t>
  </si>
  <si>
    <t>Recreate is a UX shortcut — should not copy the expired order ID, only its parameters</t>
  </si>
  <si>
    <t>LO-26</t>
  </si>
  <si>
    <t>Limit order: gasless partial permit makes order unfillable — unfillable label shown</t>
  </si>
  <si>
    <t>EOA or MM Smart Account; open limit order for token X placed with gasless permit; a subsequent gasless partial permit for smaller amount signed for same token</t>
  </si>
  <si>
    <t>1. Place limit order for 500 USDC (sign gasless permit for 500 USDC)
2. Place a market swap for 50 USDC with gasless permit for 50 USDC only
3. Return to Limit orders tab / orders table
4. Observe limit order status</t>
  </si>
  <si>
    <t>1. Limit order labeled unfillable
2. unfillable indicator visible in open orders table
3. order not cancelled
4. tooltip or inline message indicates cause (insufficient allowance)
5. order stays unfillable until allowance is restored via on-chain approval</t>
  </si>
  <si>
    <t>Cross-reference MO-71. Both swap and limit orders are affected by partial permit side-effects.</t>
  </si>
  <si>
    <t>LO-27</t>
  </si>
  <si>
    <t>Limit order: on-chain approval restores unfillable permit order</t>
  </si>
  <si>
    <t>Limit order unfillable due to insufficient permit allowance (from LO-31)</t>
  </si>
  <si>
    <t>1. Locate unfillable limit order
2. Execute on-chain approval for the sell token (sufficient amount)
3. Confirm approval TX in wallet
4. Observe limit order status update</t>
  </si>
  <si>
    <t>1. After on-chain approval TX confirms, limit order status reverts to normal/fillable
2. unfillable indicator removed
3. order eligible for execution when limit price is reached
4. no need to recreate the order</t>
  </si>
  <si>
    <t>On-chain approval is the definitive fix — signing another permit may not reliably fix the order.</t>
  </si>
  <si>
    <t>LO-28</t>
  </si>
  <si>
    <t>Limit order: gasless permit not available for SC wallets — on-chain only</t>
  </si>
  <si>
    <t>Safe or Base Smart Account connected; placing a limit order for permit-compatible token</t>
  </si>
  <si>
    <t>1. Connect SC wallet (Safe or Base SA)
2. Open Limit tab
3. Select permit-compatible sell token
4. Observe approval options when placing the order</t>
  </si>
  <si>
    <t>1. No gasless permit option shown for limit order approval in SC wallet context
2. on-chain approval TX required
3. Safe TX queue used for approval
4. partial permit side-effect warning NOT shown (since permits not available for SC wallets)</t>
  </si>
  <si>
    <t>Permit matrix applies equally to limit orders: EOA ✓  MM SA ✓  SC wallets ✗</t>
  </si>
  <si>
    <t>LO-29</t>
  </si>
  <si>
    <t>FOK unfillable: balance drops below full order amount</t>
  </si>
  <si>
    <t>Fill-or-kill (FOK) limit order active; sell token balance initially sufficient; sufficient allowance set</t>
  </si>
  <si>
    <t>1. Place FOK limit order for 100 USDC (full balance required for FOK)
2. Transfer out USDC so balance = 99 USDC (any amount below 100)
3. Observe the order in the open orders table</t>
  </si>
  <si>
    <t>1. Order labeled unfillable
2. unfillable indicator shown in orders table
3. balance below full order amount is sufficient to trigger unfillable state for FOK
4. order not cancelled — restoring balance above order amount removes unfillable label</t>
  </si>
  <si>
    <t>FOK rule: balance &lt; order sell amount → unfillable. Partially fillable threshold: order becomes unfillable when both balance AND allowance drop below 0.05% of the sell amount. For FOK: any shortfall in balance OR allowance (whichever is less than the full order amount) makes the order unfillable.</t>
  </si>
  <si>
    <t>LO-30</t>
  </si>
  <si>
    <t>FOK unfillable: allowance drops below full order amount</t>
  </si>
  <si>
    <t>FOK limit order active; sufficient balance; allowance subsequently reduced below full order amount (e.g. via revoke.cash partial revocation or a new partial permit)</t>
  </si>
  <si>
    <t>1. Place FOK limit order for 100 USDC
2. Reduce allowance to 99 USDC (set allowance below order amount)
3. Observe order status in orders table</t>
  </si>
  <si>
    <t>1. Order labeled unfillable
2. allowance below full order amount is sufficient to trigger unfillable for FOK
3. balance unaffected
4. restoring full allowance (on-chain approval) removes unfillable label</t>
  </si>
  <si>
    <t>FOK rule: allowance &lt; order sell amount → unfillable. Partially fillable threshold: order becomes unfillable when both balance AND allowance drop below 0.05% of the sell amount. For FOK: any shortfall in balance OR allowance (whichever is less than the full order amount) makes the order unfillable.</t>
  </si>
  <si>
    <t>LO-31</t>
  </si>
  <si>
    <t>FOK unfillable: both balance and allowance below full order amount</t>
  </si>
  <si>
    <t>FOK limit order active; both balance and allowance subsequently reduced below order amount</t>
  </si>
  <si>
    <t>1. Place FOK limit order for 100 USDC
2. Reduce balance to 80 USDC AND reduce allowance to 70 USDC
3. Observe order status</t>
  </si>
  <si>
    <t>1. Order labeled unfillable
2. both conditions independently satisfy unfillable rule for FOK
3. single unfillable indicator shown (not doubled)
4. order requires BOTH balance ≥ 100 AND allowance ≥ 100 to become fillable again</t>
  </si>
  <si>
    <t>FOK rule: balance &lt; order amount OR allowance &lt; order amount → unfillable. Either shortfall alone is enough. Partially fillable threshold: order becomes unfillable when both balance AND allowance drop below 0.05% of the sell amount. For FOK: any shortfall in balance OR allowance (whichever is less than the full order amount) makes the order unfillable.</t>
  </si>
  <si>
    <t>LO-32</t>
  </si>
  <si>
    <t>Partially fillable unfillable: balance drops below 0.05% of sell amount</t>
  </si>
  <si>
    <t>Partially fillable limit order active (default mode); sell token balance initially sufficient</t>
  </si>
  <si>
    <t>1. Place partially fillable limit order for 1000 USDC
   (0.05% threshold = 0.50 USDC)
2. Reduce balance to 0.49 USDC (below 0.05% of 1000)
3. Observe order status in orders table
4. Also verify: balance at exactly 0.50 USDC (threshold boundary) → order still fillable</t>
  </si>
  <si>
    <t>1. Order labeled unfillable when balance &lt; 0.05% of sell amount (0.50 USDC for a 1000 USDC order)
2. at exactly the threshold (0.50 USDC) order remains fillable
3. unfillable label appears only below the threshold
4. restoring balance above 0.05% of sell amount removes unfillable label</t>
  </si>
  <si>
    <t>Partially fillable rule: balance &lt; 0.05% of sell amount → unfillable. This is a much lower threshold than FOK (which requires full order amount). Example: 1000 USDC order → threshold = 0.50 USDC. Partially fillable threshold: order becomes unfillable when both balance AND allowance drop below 0.05% of the sell amount. For FOK: any shortfall in balance OR allowance (whichever is less than the full order amount) makes the order unfillable.</t>
  </si>
  <si>
    <t>LO-33</t>
  </si>
  <si>
    <t>Partially fillable unfillable: allowance drops below 0.05% of sell amount</t>
  </si>
  <si>
    <t>Partially fillable limit order active; allowance subsequently reduced below 0.05% of sell amount</t>
  </si>
  <si>
    <t>1. Place partially fillable limit order for 1000 USDC
   (0.05% threshold = 0.50 USDC)
2. Reduce allowance to 0.49 USDC (below threshold)
3. Observe order status
4. Verify: allowance at exactly 0.50 USDC → order still fillable</t>
  </si>
  <si>
    <t>1. Order labeled unfillable when allowance &lt; 0.05% of sell amount
2. at exactly threshold order remains fillable
3. balance unaffected
4. restoring allowance above threshold removes unfillable label</t>
  </si>
  <si>
    <t>Partially fillable rule: allowance &lt; 0.05% of sell amount → unfillable. Partially fillable threshold: order becomes unfillable when both balance AND allowance drop below 0.05% of the sell amount. For FOK: any shortfall in balance OR allowance (whichever is less than the full order amount) makes the order unfillable.</t>
  </si>
  <si>
    <t>LO-34</t>
  </si>
  <si>
    <t>Partially fillable unfillable: both balance and allowance below 0.05% threshold</t>
  </si>
  <si>
    <t>Partially fillable limit order active; both balance and allowance reduced below 0.05% of sell amount</t>
  </si>
  <si>
    <t>1. Place partially fillable limit order for 1000 USDC
2. Reduce balance to 0.30 USDC AND allowance to 0.20 USDC (both below 0.50 threshold)
3. Observe order status</t>
  </si>
  <si>
    <t>1. Order labeled unfillable
2. single unfillable indicator shown
3. order requires both balance ≥ 0.05% AND allowance ≥ 0.05% of sell amount to become fillable
4. either condition alone being above threshold is not sufficient — both must be met</t>
  </si>
  <si>
    <t>Partially fillable rule: balance &lt; 0.05% of sell amount AND allowance &lt; 0.05% → unfillable. Contrast with FOK where either condition alone triggers unfillable. Partially fillable threshold: order becomes unfillable when both balance AND allowance drop below 0.05% of the sell amount. For FOK: any shortfall in balance OR allowance (whichever is less than the full order amount) makes the order unfillable.</t>
  </si>
  <si>
    <t>LO-35</t>
  </si>
  <si>
    <t>Partially fillable: only balance OR allowance below 0.05% threshold — still fillable</t>
  </si>
  <si>
    <t>Partially fillable limit order active</t>
  </si>
  <si>
    <t>1. Place partially fillable limit order for 1000 USDC (threshold = 0.50 USDC)
2. Scenario A: reduce balance to 0.30 USDC but keep allowance ≥ 0.50 USDC
3. Observe order — should still be fillable
4. Scenario B: reduce allowance to 0.30 USDC but keep balance ≥ 0.50 USDC
5. Observe order — should still be fillable</t>
  </si>
  <si>
    <t>1. Order remains fillable in both scenarios
2. partially fillable requires BOTH balance AND allowance to be below 0.05% to become unfillable
3. if only one is below the threshold the order can still partially fill using whichever resource is available
4. no unfillable label shown in either scenario</t>
  </si>
  <si>
    <t>Key distinction from FOK: partially fillable order needs BOTH conditions met simultaneously to be unfillable. FOK needs only ONE. Partially fillable threshold: order becomes unfillable when both balance AND allowance drop below 0.05% of the sell amount. For FOK: any shortfall in balance OR allowance (whichever is less than the full order amount) makes the order unfillable.</t>
  </si>
  <si>
    <t>LO-36</t>
  </si>
  <si>
    <t>Unfillable labeling: FOK vs partially fillable — different threshold behavior</t>
  </si>
  <si>
    <t>Two concurrent limit orders for same token: one FOK, one partially fillable; balance = 0.5% of sell amount</t>
  </si>
  <si>
    <t>1. Place FOK order for 1000 USDC
2. Place partially fillable order for 1000 USDC
3. Reduce balance to 0.30 USDC (below 0.05% threshold) AND reduce allowance to 0.30 USDC
4. Observe both orders in the table simultaneously
5. Now restore balance to 1.00 USDC but keep allowance at 0.30 USDC
6. Observe both orders again</t>
  </si>
  <si>
    <t>1. Step 4: Both orders unfillable (FOK: balance &lt; full amount; partially fillable: both below 0.05%)
2. Step 6 (balance restored to 1.00, allowance still 0.30): FOK remains unfillable (allowance 0.30 &lt; 1000 order amount)
3. partially fillable remains unfillable (allowance 0.30 &lt; 0.05% threshold of 0.50)
4. different thresholds clearly distinguishable in UI labels</t>
  </si>
  <si>
    <t>This test confirms the two rules coexist correctly on the same orders table. FOK threshold = full order amount; partially fillable threshold = 0.05% of sell amount.</t>
  </si>
  <si>
    <t>LO-37</t>
  </si>
  <si>
    <t>Limit order: limit price and USD estimations correct for tokens with different decimal precision</t>
  </si>
  <si>
    <t>Wallet connected; tokens with varying decimals available: e.g. ETH (18 dec), USDC (6 dec), WBTC (8 dec)</t>
  </si>
  <si>
    <t>1. Open Limit tab
2. Select WBTC (8 dec) sell → USDC (6 dec) buy
3. Enter sell amount; verify limit price auto-calculated
4. Toggle limit price display between native token and USD
5. Verify 'Executes at' price in orders table after placing
6. Repeat with ETH (18 dec) sell → USDC (6 dec) buy
7. Check sell token balance shown correctly for each precision</t>
  </si>
  <si>
    <t>1. Limit price displayed correctly for all decimal combinations
2. USD toggle shows consistent value with native price × current rate
3. sell token balance shown with correct decimal places
4. 'Executes at' column in orders table reflects correct scaled price
5. no off-by-decimal errors in price or amount fields</t>
  </si>
  <si>
    <t>LO-38</t>
  </si>
  <si>
    <t>Limit order: 0-decimal token (MPS on Gnosis Chain) — limit price, amount, balance</t>
  </si>
  <si>
    <t>Wallet connected on Gnosis Chain; MPS (0-decimal) balance available; Limit tab active</t>
  </si>
  <si>
    <t>1. Switch to Gnosis Chain
2. Select MPS as sell token on Limit tab
3. Enter sell amount as whole integer (e.g. 100 MPS)
4. Attempt fractional input (e.g. 0.5 MPS) → observe behavior
5. Set limit price; verify price display
6. Check balance shown for MPS in sell field
7. Place order; verify order appears in table with correct integer amounts</t>
  </si>
  <si>
    <t>1. MPS sell amount accepts only whole integers
2. fractional input rejected or clamped
3. balance shown as integer
4. limit price and USD estimations calculated without decimal scaling errors
5. placed order shows integer sell amount in orders table
6. minimum order check uses 1 gwei correctly scaled for 0-decimal token (1 gwei of a 0-decimal token = 1 whole token, not 0.000000001)</t>
  </si>
  <si>
    <t>MPS is a 0-decimal ERC-20 on Gnosis Chain. The UI must not allow fractional input (e.g. 0.5 MPS) and must display balance and amounts as whole integers. USD estimation must multiply by token price without decimal shifting errors.
Note: 1 gwei minimum for limit orders = 1 whole MPS token for a 0-decimal token.</t>
  </si>
  <si>
    <t>LO-39</t>
  </si>
  <si>
    <t>Limit orders table: not connected user — no tabs shown</t>
  </si>
  <si>
    <t>No wallet connected; Limit orders page open</t>
  </si>
  <si>
    <t>1. Open swap.cow.fi/#/1/limit/ without connecting a wallet
2. Observe the orders table area</t>
  </si>
  <si>
    <t>1. Orders table does not show any tabs (no OPEN / ORDERS HISTORY / SIGNING / UNFILLABLE tabs)
2. table shows empty/connect prompt only</t>
  </si>
  <si>
    <t>LO-40</t>
  </si>
  <si>
    <t>Limit orders table: unsupported network — no tabs + Unsupported network message</t>
  </si>
  <si>
    <t>Wallet connected to an unsupported network; Limit page open</t>
  </si>
  <si>
    <t>1. Connect wallet to unsupported network
2. Open Limit orders page
3. Observe orders table</t>
  </si>
  <si>
    <t>1. Orders table does not show any tabs
2. Unsupported network message is displayed on the table</t>
  </si>
  <si>
    <t>LO-41</t>
  </si>
  <si>
    <t>Limit orders table: supported network — no orders — OPEN default + ORDERS HISTORY clickable</t>
  </si>
  <si>
    <t>Wallet connected to a supported network; no orders placed yet</t>
  </si>
  <si>
    <t>1. Connect wallet to a supported network
2. Navigate to Limit orders page
3. Observe default active tab
4. Click ORDERS HISTORY tab</t>
  </si>
  <si>
    <t>1. OPEN tab shown and active by default with empty state (content not changed)
2. ORDERS HISTORY tab is clickable and content is not changed when navigated to (empty state)</t>
  </si>
  <si>
    <t>LO-42</t>
  </si>
  <si>
    <t>Limit orders table: EOA wallet places order — appears in OPEN tab + navigation to OPEN</t>
  </si>
  <si>
    <t>EOA wallet (MetaMask/Rabby/etc.) connected; user is on another tab (e.g. ORDERS HISTORY)</t>
  </si>
  <si>
    <t>1. Be on ORDERS HISTORY or other tab
2. Place or recreate a limit order
3. Sign in wallet
4. Observe which tab is active and where the order appears</t>
  </si>
  <si>
    <t>1. Order appears in the OPEN tab
2. user is navigated to the OPEN tab even if they were on another tab before placement</t>
  </si>
  <si>
    <t>LO-43</t>
  </si>
  <si>
    <t>Limit orders table: EOA places unfillable order — OPEN tab + UNFILLABLE tab appears</t>
  </si>
  <si>
    <t>EOA wallet connected; user places a fill-or-kill limit order where sell amount &gt; wallet balance (immediately unfillable)</t>
  </si>
  <si>
    <t>1. Be on any tab other than OPEN
2. Place an unfillable FOK order (sell amount &gt; balance)
3. Observe table after placement</t>
  </si>
  <si>
    <t>1. Order appears in OPEN tab
2. additional UNFILLABLE tab appears to the right of the OPEN tab
3. user is navigated to the OPEN tab after placement (not UNFILLABLE)</t>
  </si>
  <si>
    <t>LO-44</t>
  </si>
  <si>
    <t>Limit orders table: unfillable order becomes fillable — removed from UNFILLABLE — stays on OPEN</t>
  </si>
  <si>
    <t>Open order in UNFILLABLE state; user is currently on UNFILLABLE tab</t>
  </si>
  <si>
    <t>1. Have unfillable order visible on UNFILLABLE tab
2. Restore balance/allowance so order becomes fillable
3. Observe table</t>
  </si>
  <si>
    <t>1. Order removed from UNFILLABLE tab
2. order still displayed on OPEN tab
3. if no more unfillable orders UNFILLABLE tab is no longer displayed
4. user navigated to OPEN tab if they were on UNFILLABLE</t>
  </si>
  <si>
    <t>LO-45</t>
  </si>
  <si>
    <t>Limit orders table: partially filled order stays on OPEN tab</t>
  </si>
  <si>
    <t>Open partially-fillable limit order; at least one partial fill occurs</t>
  </si>
  <si>
    <t>1. Place a partially fillable limit order
2. Let at least one partial fill occur
3. Observe order location in table</t>
  </si>
  <si>
    <t>Order is still displayed on the OPEN tab</t>
  </si>
  <si>
    <t>LO-46</t>
  </si>
  <si>
    <t>Limit orders table: fully filled order moved to ORDERS HISTORY — no navigation</t>
  </si>
  <si>
    <t>Open limit order; order becomes fully filled</t>
  </si>
  <si>
    <t>1. Have an open limit order
2. Let the order be fully filled
3. Observe table</t>
  </si>
  <si>
    <t>1. Order is no longer displayed on the OPEN tab
2. order is moved to the ORDERS HISTORY tab
3. no navigation — user stays where they are</t>
  </si>
  <si>
    <t>LO-47</t>
  </si>
  <si>
    <t>Limit orders table: open order becomes unfillable — UNFILLABLE tab appears — no navigation</t>
  </si>
  <si>
    <t>Open fillable limit order; balance/allowance subsequently drops below unfillable threshold</t>
  </si>
  <si>
    <t>1. Have an open fillable order
2. Reduce balance or allowance so order becomes unfillable
3. Observe table</t>
  </si>
  <si>
    <t>1. Order still displayed on OPEN tab
2. UNFILLABLE tab appears to the right of OPEN tab with this order
3. no navigation — user stays where they are</t>
  </si>
  <si>
    <t>LO-48</t>
  </si>
  <si>
    <t>Limit orders table: cancelling order shows Cancelling status on OPEN tab</t>
  </si>
  <si>
    <t>Open limit order exists; user initiates cancellation</t>
  </si>
  <si>
    <t>1. Click cancel on open limit order
2. Sign the cancellation request
3. Observe the order row on OPEN tab</t>
  </si>
  <si>
    <t>Order is still displayed on the OPEN tab with Cancelling status as soon as request is signed</t>
  </si>
  <si>
    <t>LO-49</t>
  </si>
  <si>
    <t>Limit orders table: cancelled order moved to ORDERS HISTORY — no navigation</t>
  </si>
  <si>
    <t>Limit order in Cancelling state; cancellation is confirmed</t>
  </si>
  <si>
    <t>1. Wait for cancelling order to be confirmed as cancelled
2. Observe table</t>
  </si>
  <si>
    <t>1. Order not on OPEN tab
2. order moved to ORDERS HISTORY tab
3. no navigation — user stays where they are</t>
  </si>
  <si>
    <t>LO-50</t>
  </si>
  <si>
    <t>Limit orders table: cancelling order gets filled — moved to ORDERS HISTORY — no navigation</t>
  </si>
  <si>
    <t>Limit order in Cancelling state; order gets filled before cancel is finalized (race condition)</t>
  </si>
  <si>
    <t>1. Initiate order cancellation (soft cancel)
2. Order fills before cancellation is processed
3. Observe table</t>
  </si>
  <si>
    <t>1. Order not on OPEN tab
2. moved to ORDERS HISTORY as Filled
3. no navigation — user stays where they are</t>
  </si>
  <si>
    <t>LO-51</t>
  </si>
  <si>
    <t>Limit orders table: expired order moved to ORDERS HISTORY — no navigation</t>
  </si>
  <si>
    <t>Open (or partially filled) limit order; order deadline passes without full fill</t>
  </si>
  <si>
    <t>1. Place limit order with defined expiry
2. Let it expire without being fully filled
3. Observe table</t>
  </si>
  <si>
    <t>1. Order not on OPEN tab
2. moved to ORDERS HISTORY tab
3. no navigation — user stays where they are</t>
  </si>
  <si>
    <t>LO-52</t>
  </si>
  <si>
    <t>Limit orders table: SC wallet places order — SIGNING tab appears + navigation to SIGNING</t>
  </si>
  <si>
    <t>Smart contract wallet (Safe/Ambire/etc.) connected; no prior signing orders</t>
  </si>
  <si>
    <t>1. Be on any tab
2. Place or recreate a limit order with SC wallet
3. Observe which tab appears and is active</t>
  </si>
  <si>
    <t>1. Order appears in SIGNING tab
2. SIGNING tab appears to the left of the OPEN tab (if not already shown)
3. user is navigated to the SIGNING tab after placement</t>
  </si>
  <si>
    <t>LO-53</t>
  </si>
  <si>
    <t>Limit orders table: SC wallet signing order is signed and fillable — SIGNING removed + OPEN</t>
  </si>
  <si>
    <t>SC wallet connected; order in SIGNING state; user is on SIGNING tab; Safe tx executed and order is fillable</t>
  </si>
  <si>
    <t>1. Complete SC wallet signing (Safe tx executed on-chain)
2. Order is deemed fillable (sufficient balance/allowance)
3. Observe table</t>
  </si>
  <si>
    <t>1. Order removed from SIGNING tab
2. order appears on OPEN tab
3. SIGNING tab disappears if no more signing orders
4. user navigated to OPEN tab if they were on SIGNING</t>
  </si>
  <si>
    <t>LO-54</t>
  </si>
  <si>
    <t>Limit orders table: SC wallet signing order is signed and unfillable — OPEN + UNFILLABLE tab</t>
  </si>
  <si>
    <t>SC wallet connected; order in SIGNING state; after signing order is unfillable</t>
  </si>
  <si>
    <t>1. Complete SC wallet signing
2. Order is unfillable (insufficient balance/allowance)
3. Observe table</t>
  </si>
  <si>
    <t>1. Order removed from SIGNING
2. appears on OPEN tab
3. UNFILLABLE tab appears to the right of OPEN with this order
4. user navigated to OPEN tab
5. SIGNING tab removed if no more signing orders</t>
  </si>
  <si>
    <t>LO-55</t>
  </si>
  <si>
    <t>USDT approval: revoke-then-approve flow for limit order when existing allowance &lt; order amount (Ethereum)</t>
  </si>
  <si>
    <t>1. Connect EOA wallet on Ethereum Mainnet
2. Navigate to the Limit tab
3. Select USDT as sell token (verify existing allowance is 2 USDT)
4. Enter a sell amount that exceeds the existing allowance (e.g. 4 USDT)
5. Observe the approval UI — should show a 2-step approval flow, not a single approve
6. Click the approval action
7. Sign the first transaction (approve(0) to revoke existing allowance)
8. Wait for the revoke TX to confirm on-chain
9. Sign the second transaction (approve(amount) for the new amount)
10. Wait for the approve TX to confirm
11. Place the limit order as normal</t>
  </si>
  <si>
    <t>1. UI displays a 2-step approval flow specific to USDT (revoke first, then approve)
2. First TX is approve(0) sent to USDT contract — sets allowance to 0
3. Revoke TX confirms successfully on-chain
4. Second TX is approve(newAmount) — sets allowance to the required amount
5. Approve TX confirms successfully (does not fail like a single-step approve would)
6. Limit order can be placed and submitted normally after both TXs confirm
7. No 'approval failed' error encountered
8. Verify on revoke.cash that the final allowance equals the requested amount</t>
  </si>
  <si>
    <t>LO-56</t>
  </si>
  <si>
    <t>USDT approval: no revoke or approve needed for limit order when existing allowance ≥ order amount</t>
  </si>
  <si>
    <t>1. Connect EOA wallet on Ethereum Mainnet
2. Navigate to the Limit tab
3. Select USDT as sell token (verify existing allowance is e.g. 100 USDT)
4. Enter a sell amount ≤ existing allowance (e.g. 4 USDT)
5. Observe approval UI
6. Proceed with the limit order</t>
  </si>
  <si>
    <t>1. No approval prompt shown — existing allowance is sufficient
2. No revoke TX requested
3. No approve TX requested
4. Limit order proceeds directly to signing/placement
5. USDT allowance is not modified</t>
  </si>
  <si>
    <t>LO-57</t>
  </si>
  <si>
    <t>Limit Settings: Custom Recipient toggle visible in settings panel</t>
  </si>
  <si>
    <t>Limit tab open; settings (gear) icon visible</t>
  </si>
  <si>
    <t>1. Open Limit tab on swap.cow.fi/#/1/limit
2. Click the settings icon next to 'My orders'
3. Observe the 'Limit Settings' section</t>
  </si>
  <si>
    <t>1. Settings panel opens with 'Limit Settings' and 'Limit Interface' sections
2. 'Custom Recipient' toggle is shown with an info (?) tooltip
3. Toggle is OFF by default</t>
  </si>
  <si>
    <t>LO-58</t>
  </si>
  <si>
    <t>Limit Settings: Enable Partial Executions toggle (per-order default)</t>
  </si>
  <si>
    <t>Limit settings panel open</t>
  </si>
  <si>
    <t>1. Toggle 'Enable Partial Executions' OFF
2. Place a limit order and check the Partially fillable indicator on the order
3. Toggle 'Enable Partial Executions' ON again and place another order</t>
  </si>
  <si>
    <t>1. With toggle OFF new limit orders are placed as Fill-or-Kill (not partially fillable)
2. With toggle ON new limit orders are partially fillable
3. Setting persists across reloads</t>
  </si>
  <si>
    <t>LO-59</t>
  </si>
  <si>
    <t>Limit Settings: Lock Limit Price toggle</t>
  </si>
  <si>
    <t>1. Toggle 'Lock Limit Price' ON, set a limit price
2. Change the market price (e.g. wait or switch tokens) and observe the limit price field
3. Toggle 'Lock Limit Price' OFF and observe whether the limit price follows the market when sell/buy amount changes</t>
  </si>
  <si>
    <t>1. With toggle ON the limit price stays fixed even when sell/buy amounts or market change; padlock icon next to limit price reflects locked state
2. With toggle OFF the limit price is recalculated/derived from market and amount changes
3. Setting persists across reloads</t>
  </si>
  <si>
    <t>LO-60</t>
  </si>
  <si>
    <t>Limit Interface: Desktop — Left-Aligned Orders Table toggle</t>
  </si>
  <si>
    <t>Limit settings panel open on desktop viewport</t>
  </si>
  <si>
    <t>1. Toggle 'Desktop: Left-Aligned Orders Table' ON
2. Observe the orders table layout below the order form
3. Toggle OFF and observe</t>
  </si>
  <si>
    <t>1. With toggle ON the orders table is aligned to the left of the viewport on desktop
2. With toggle OFF the orders table returns to the default centered layout
3. Setting persists across reloads</t>
  </si>
  <si>
    <t>LO-61</t>
  </si>
  <si>
    <t>Limit Interface: Limit Price Position dropdown (Top/Bottom)</t>
  </si>
  <si>
    <t>1. Open the 'Limit Price Position' dropdown
2. Select 'Top' and observe the order form
3. Select 'Bottom' (default) and observe</t>
  </si>
  <si>
    <t>1. Two options available: Top, Bottom (default Bottom)
2. When 'Top' is selected the 'When 1 TOKEN is worth' price block is rendered above the sell/buy cards
3. When 'Bottom' is selected the price block stays below the sell/buy cards (default)
4. Setting persists across reloads</t>
  </si>
  <si>
    <t>LO-62</t>
  </si>
  <si>
    <t>Limit: send final outcome to Custom Recipient — recipient field &amp; warning</t>
  </si>
  <si>
    <t>Wallet connected; Limit tab open; 'Custom Recipient' toggle enabled in settings</t>
  </si>
  <si>
    <t>1. Enable 'Custom Recipient' in Limit settings
2. A 'Recipient' field appears between the buy token card and the limit price block with 'Wallet Address or ENS name' placeholder and a Paste button
3. Paste a valid recipient address (different from the connected wallet) or an ENS name
4. Configure a valid limit order (sell token, buy token, amount, price)
5. Click 'Place limit order' and sign</t>
  </si>
  <si>
    <t>1. Recipient field is shown when Custom Recipient is enabled
2. App validates the address (ENS resolves)
3. A warning is shown informing the user that the bought tokens will be sent to the specified external recipient address — funds cannot be recovered if the address is wrong
4. Confirmed orders settle the bought amount to the custom recipient instead of the connected wallet</t>
  </si>
  <si>
    <t>ENS name is supported on Ethreum and Sepolia chains only</t>
  </si>
  <si>
    <t>LO-63</t>
  </si>
  <si>
    <t>Limit: Custom Recipient — invalid address rejected</t>
  </si>
  <si>
    <t>Custom Recipient enabled on Limit tab</t>
  </si>
  <si>
    <t>1. Enter an invalid address (e.g. '0x123', random text, or a non-existent ENS)
2. Attempt to place the limit order</t>
  </si>
  <si>
    <t>1. Address is rejected / marked as invalid
2. Place limit order button is disabled or submission is blocked until a valid address or ENS is provided</t>
  </si>
  <si>
    <t>LO-64</t>
  </si>
  <si>
    <t>Limit: selling a native token (ETH) is not supported</t>
  </si>
  <si>
    <t>Limit tab open on Ethereum (or any chain whose native token is ETH)</t>
  </si>
  <si>
    <t>1. Try to select the native token (ETH on Mainnet, xDAI on Gnosis, etc.) as the SELL token via the token selector
2. Observe the token list and selection behavior
3. If the native token was preselected via URL, observe the form state</t>
  </si>
  <si>
    <t xml:space="preserve">1. Native token is selectable as the sell token on the Limit page. Watning explanation that limit orders support only ERC-20 sell tokens — wrap to WETH  ir pick ETH is displayed
</t>
  </si>
  <si>
    <t>LO-65</t>
  </si>
  <si>
    <t>Limit order: protocol volume fee 0.02% (2 bps) on standard token pair</t>
  </si>
  <si>
    <t>Wallet connected; Limit tab open; standard non-correlated pair selected (e.g. WETH → USDC); limit price set in-market so order is fillable immediately</t>
  </si>
  <si>
    <t>1. Open Limit tab on swap.cow.fi
2. Select a standard pair (WETH → USDC)
3. Configure a sell amount and an in-market limit price
4. Review the order summary / costs breakdown
5. Identify the Protocol fee line item before signing</t>
  </si>
  <si>
    <t>1. Order summary shows a 'Protocol fee' component
2. Protocol fee ≈ Volume × 0.0002 (2 bps)
3. Fee is denominated in the surplus token (buy token for sell-side limit orders)
4. Final receive amount = expected receive − protocol fee − any other costs</t>
  </si>
  <si>
    <t>Per docs (Volume Fee, Standard Assets): Volume × 0.0002 = 0.02%. Volume Fee applies to ALL orders. Out-of-market limit orders additionally incur the surplus-based fee (50% of surplus, capped at 0.98%) — that is a separate case.</t>
  </si>
  <si>
    <t>LO-66</t>
  </si>
  <si>
    <t>Limit order: protocol volume fee 0.003% (0.3 bps) on correlated assets (stables/RWAs)</t>
  </si>
  <si>
    <t>Wallet connected; Limit tab open; correlated pair selected (e.g. USDC → USDT or DAI → USDC); in-market limit price set</t>
  </si>
  <si>
    <t>1. Open Limit tab on swap.cow.fi
2. Select a correlated pair (USDC → USDT)
3. Configure sell amount and an in-market limit price
4. Review order summary / costs breakdown
5. Identify the Protocol fee line item
6. Repeat with another stable/RWA correlated pair (e.g. DAI → USDC)</t>
  </si>
  <si>
    <t>1. Order summary shows 'Protocol fee' component
2. Protocol fee ≈ Volume × 0.00003 (0.3 bps)
3. Fee denominated in surplus token
4. Fee value is ~6.67× smaller than the standard 2 bps tier on equivalent volume</t>
  </si>
  <si>
    <t>Per docs (Volume Fee, Correlated Assets — Stables/RWAs): Volume × 0.00003 = 0.003%. Applies regardless of in/out-of-market status. Out-of-market orders additionally incur surplus fee separately.</t>
  </si>
  <si>
    <t>TWAP Order Tests</t>
  </si>
  <si>
    <t>CoW Swap  |  swap.cow.fi  |  TWAPOrders</t>
  </si>
  <si>
    <t>TW-01</t>
  </si>
  <si>
    <t>Place TWAP order (Safe wallet)</t>
  </si>
  <si>
    <t>Safe wallet connected (inside app or using WC); fallback handler upgraded; min $1k per part (Mainne, 1 use ither chainst)</t>
  </si>
  <si>
    <t>1. Open TWAP tab
2. Set sell token, total amount
3. Configure parts &amp; duration
4. Review &amp; sign in Safe</t>
  </si>
  <si>
    <t>1. TWAP order created
2. parts visible
3. first part executes at scheduled time</t>
  </si>
  <si>
    <t>TW-02</t>
  </si>
  <si>
    <t>TWAP minimum order size enforcement</t>
  </si>
  <si>
    <t xml:space="preserve">Safe wallet </t>
  </si>
  <si>
    <t>1. Attempt TWAP with &lt;$1k per part on Mainnet or 1 USD on other L2s</t>
  </si>
  <si>
    <t>Error or warning preventing order below minimum threshold</t>
  </si>
  <si>
    <t>TW-03</t>
  </si>
  <si>
    <t>TWAP price protection option</t>
  </si>
  <si>
    <t>TWAP order being configured</t>
  </si>
  <si>
    <t>1. Open TWAP confirm modal and read default 'Price protection' value
2. Set min (0%) and max (99.99%) and intermediate values (e.g. 5%, 25%)
3. Verify 'Minimum receive' updates: Min receive ≈ Expected receive × (1 − price protection)
4. Verify 'Limit price (incl. fees)' updates accordingly (worse than Rate by the protection band)
5. Place the TWAP and confirm the signed values match the displayed Min receive</t>
  </si>
  <si>
    <t>1. Default price protection = 10%
2. Accepted range: min 0%, max 99.99% (rejects negative and &gt;=100%)
3. Minimum receive = Expected receive × (1 − price_protection); updates live
4. Limit price (incl. fees) reflects the protection band (per the image: Rate 1 WETH = 2116.6998 USDT, Limit 1 WETH = 2135.1112 USDT at 10% protection)
5. Signed order's minimum receive matches the value shown before signing</t>
  </si>
  <si>
    <t>TW-04</t>
  </si>
  <si>
    <t>Cancel TWAP order (multisig)</t>
  </si>
  <si>
    <t>Active TWAP order from Safe</t>
  </si>
  <si>
    <t>1. Click cancel on TWAP order in the order menu
2. Collect required Safe signatures
3. Execute cancellation tx</t>
  </si>
  <si>
    <t>1. Cancellation tx created in Safe
2. unfilled parts cancelled after all signatures</t>
  </si>
  <si>
    <t>TW-05</t>
  </si>
  <si>
    <t>TWAP inaccessible without Safe wallet</t>
  </si>
  <si>
    <t>Non-Safe wallet connected (e.g. MetaMask)</t>
  </si>
  <si>
    <t>1. Attempt to access TWAP tab</t>
  </si>
  <si>
    <t>1. UI prompts user to use/create Safe wallet
2. Action butoon shows 'unsupporte wallet'</t>
  </si>
  <si>
    <t>TW-06</t>
  </si>
  <si>
    <t>TWAP: Safe wallet with incompatible/no fallback handler — upgrade prompt shown</t>
  </si>
  <si>
    <t>Safe wallet connected; fallback handler NOT set or set to incompatible handler</t>
  </si>
  <si>
    <t>1. Connect Safe without correct fallback handler
2. Open TWAP tab
3. Attempt to place TWAP order</t>
  </si>
  <si>
    <t>1.warning to set up a FB handler is shown
2. user prompted to upgrade Safe fallback handler
3. upgrade CTA links to documentation
4. TWAP order is placed: set up a FB handler TX is included into the batch</t>
  </si>
  <si>
    <t>TW-07</t>
  </si>
  <si>
    <t>TWAP: fallback handler upgrade flow</t>
  </si>
  <si>
    <t>TWAP order is placed with a TX to set up a FB handler in it</t>
  </si>
  <si>
    <t>try placing another TWAP order</t>
  </si>
  <si>
    <t>No messge to setup another FB handler appears</t>
  </si>
  <si>
    <t>Upgrade has undergone auditing; link to audit: github.com/cowprotocol/composable-cow</t>
  </si>
  <si>
    <t>TW-08</t>
  </si>
  <si>
    <t>TWAP: WalletConnect-connected Safe — order placement works</t>
  </si>
  <si>
    <t>Safe connected via WalletConnect (not as Safe App); correct fallback handler installed</t>
  </si>
  <si>
    <t>1. Connect Safe via WalletConnect to swap.cow.fi
2. Open TWAP tab
3. Configure TWAP order
4. Sign via Safe interface</t>
  </si>
  <si>
    <t>1. TWAP available
2. order signing routed through Safe WC session
3. Safe TX queue updated
4. TWAP executes correctly</t>
  </si>
  <si>
    <t>TW-09</t>
  </si>
  <si>
    <t>TWAP: order receipt shows execution details</t>
  </si>
  <si>
    <t>Active TWAP order placed</t>
  </si>
  <si>
    <t>1. Open orders overview
2. Locate TWAP order
3. Click to view order receipt</t>
  </si>
  <si>
    <t>Order receipt displays: total amount, number of parts, part duration, price protection setting, execution status per part, TX details for executed parts</t>
  </si>
  <si>
    <t>TW-10</t>
  </si>
  <si>
    <t>TWAP: individual part three-dot menu actions</t>
  </si>
  <si>
    <t>Active TWAP order with at least one part visible</t>
  </si>
  <si>
    <t>1. Expand TWAP parent row in orders table
2. Click three-dot menu on an individual part
3. Verify available actions</t>
  </si>
  <si>
    <t>1. Part-level actions available (e.g. view on explorer , order receipt and cancle order for Open part)
2. parent-level actions (cancel for open order, order receipt ) in parent three-dot menu
3. actions correctly scoped to part vs whole order</t>
  </si>
  <si>
    <t>TW-11</t>
  </si>
  <si>
    <t>Cancel TWAP order: on-chain only — no off-chain soft cancel</t>
  </si>
  <si>
    <t>1. Open orders table with TWAP order visible
2. Click ⋮ → Cancel
3. Observe cancellation flow</t>
  </si>
  <si>
    <t>1. TWAP cancellation is always on-chain (no soft/off-chain option)
2. Safe TX created in queue for cancellation
3. requires all threshold signatures
4. no gas-free cancel option shown for TWAP</t>
  </si>
  <si>
    <t>TWAP orders are on-chain programmatic orders (ComposableCoW) — they can only be cancelled via on-chain TX</t>
  </si>
  <si>
    <t>TW-12</t>
  </si>
  <si>
    <t>Cancel individual TWAP part: per-part cancel available when part is in Open status</t>
  </si>
  <si>
    <t>Active TWAP order with multiple parts; some parts already executed</t>
  </si>
  <si>
    <t>1. Place a TWAP order with multiple parts
2. Wait for at least one part to become Open (active)
3. Expand the TWAP parent row in the orders table
4. Click ⋮ menu on an individual part that is in Open status
5. Select 'Cancel' for that part
6. Execute the on-chain cancellation TX in Safe
7. Verify: that part cancelled; other parts unaffected</t>
  </si>
  <si>
    <t>1. Individual part cancellation available when the part status is Open
2. cancellation is on-chain (Safe TX required)
3. cancelled part removed from execution schedule
4. remaining Open parts continue executing on their schedule
5. already-Filled parts are unaffected and final</t>
  </si>
  <si>
    <t>Any order (parent TWAP or individual part) can be cancelled while in Open status. Cancelling the parent cancels all remaining Open parts at once. Cancelling an individual part cancels only that part.</t>
  </si>
  <si>
    <t>TW-13</t>
  </si>
  <si>
    <t>Cancel TWAP: partially executed — only remaining parts cancelled</t>
  </si>
  <si>
    <t>TWAP order with at least 1 part already executed; remaining parts unfilled</t>
  </si>
  <si>
    <t>1. Wait for at least 1 TWAP part to execute
2. Cancel the TWAP order
3. Execute cancellation TX in Safe
4. Verify state</t>
  </si>
  <si>
    <t>1. Already-executed parts remain filled and unaffected
2. only remaining/pending parts are cancelled
3. order history shows partial execution
4. tokens from filled parts already in wallet</t>
  </si>
  <si>
    <t>TW-14</t>
  </si>
  <si>
    <t>TWAP part unfillable: balance below part sell amount</t>
  </si>
  <si>
    <t>Active TWAP order with Safe wallet; at least one part in Open/scheduled state; Safe balance of sell token sufficient initially; e.g. TWAP total = 1000 USDC across 5 parts → each part = 200 USDC</t>
  </si>
  <si>
    <t>1. Place TWAP order: 1000 USDC split into 5 parts (200 USDC each)
2. Wait for a part to become active (Open)
3. Reduce Safe balance to 199 USDC (below the 200 USDC part amount)
4. Observe the active part status in the orders table</t>
  </si>
  <si>
    <t>1. The active TWAP part labeled unfillable
2. unfillable indicator shown on the part row in the expanded TWAP orders table
3. part not skipped permanently — if balance is restored above 200 USDC before the part's time window expires, it becomes fillable again
4. other scheduled parts unaffected until they become active</t>
  </si>
  <si>
    <t>TW-15</t>
  </si>
  <si>
    <t>TWAP part unfillable: allowance below part sell amount</t>
  </si>
  <si>
    <t>Active TWAP order; part amount = 200 USDC; allowance subsequently reduced below 200 USDC (e.g. via a new partial permit or on-chain allowance reduction)</t>
  </si>
  <si>
    <t>1. Active TWAP with part amount = 200 USDC
2. Reduce token allowance for CoW Protocol to 199 USDC
3. Observe the active part status
4. Restore allowance to ≥ 200 USDC via on-chain approval
5. Observe status update</t>
  </si>
  <si>
    <t>1. Part labeled unfillable when allowance &lt; part amount (199 &lt; 200)
2. unfillable indicator shown on the part row
3. after on-chain approval restores allowance ≥ 200 USDC, part returns to fillable state
4. gasless permit cannot be used to restore allowance for Safe (on-chain approval only)</t>
  </si>
  <si>
    <t>TWAP parts are treated as FOK: a part is unfillable when balance &lt; part amount OR allowance &lt; part amount. The 0.05% partial-fill threshold used for partially fillable limit orders does NOT apply to TWAP parts.
Note: Safe wallet cannot sign gasless permits — on-chain approval is the only way to restore allowance for a TWAP order.</t>
  </si>
  <si>
    <t>TW-16</t>
  </si>
  <si>
    <t>TWAP part unfillable: both balance and allowance below part amount</t>
  </si>
  <si>
    <t>Active TWAP order; part amount = 200 USDC; both balance and allowance reduced below 200 USDC</t>
  </si>
  <si>
    <t>1. Active TWAP with part amount = 200 USDC
2. Reduce balance to 150 USDC AND reduce allowance to 100 USDC
3. Observe active part status
4. Restore only balance to 200 USDC (leave allowance at 100)
5. Observe whether part becomes fillable
6. Also restore allowance to ≥ 200 USDC
7. Observe final status</t>
  </si>
  <si>
    <t>1. Step 3: part unfillable (both below part amount)
2. Step 5: part remains unfillable — balance alone is not enough, allowance still insufficient
3. Step 7: part becomes fillable once both balance ≥ 200 AND allowance ≥ 200
4. single unfillable indicator shown throughout (not doubled)</t>
  </si>
  <si>
    <t>TWAP parts are treated as FOK: a part is unfillable when balance &lt; part amount OR allowance &lt; part amount. The 0.05% partial-fill threshold used for partially fillable limit orders does NOT apply to TWAP parts.
FOK rule: balance &lt; part amount OR allowance &lt; part amount → unfillable. BOTH must be restored to ≥ part amount for the part to become fillable again.</t>
  </si>
  <si>
    <t>TW-17</t>
  </si>
  <si>
    <t>TWAP order: part amounts and USD estimations correct for tokens with different decimal precision</t>
  </si>
  <si>
    <t>Safe wallet connected with fallback handler; tokens with varying decimals: e.g. WETH (18 dec) sell, USDC (6 dec) buy</t>
  </si>
  <si>
    <t>1. Open TWAP tab
2. Select WETH (18 dec) sell → USDC (6 dec) buy
3. Enter total sell amount; configure parts and duration
4. Verify 'Sell per part' and 'Buy per part' read-only fields
5. Check USD estimation for total and per-part amounts
6. Repeat with WBTC (8 dec) sell → USDC (6 dec) buy</t>
  </si>
  <si>
    <t>1. Sell per part = total sell amount / number of parts, correctly scaled for token decimals
2. Buy per part ≈ Expected receive / number of parts at the displayed Rate; rounded to buy-token precision
3. USD estimation for total and per-part amounts consistent and correctly scaled
4. Minimum part size check ($1k Mainnet / $5 Gnosis Chain / $1 other L2s) uses USD value, not raw token units
5. Sum of per-part amounts equals total sell amount (any rounding residual absorbed by the last part)</t>
  </si>
  <si>
    <t>TW-18</t>
  </si>
  <si>
    <t>TWAP order: 0-decimal token (MPS on Gnosis Chain) — part amounts, minimum, USD estimation</t>
  </si>
  <si>
    <t>Safe wallet on Gnosis Chain with fallback handler; MPS (0-decimal) balance available in Safe</t>
  </si>
  <si>
    <t>1. Switch to Gnosis Chain; open TWAP tab
2. Select MPS as sell token
3. Enter total sell amount as whole integer (e.g. 100 MPS)
4. Set number of parts (e.g. 5) → verify 'Sell per part' = 20 MPS (integer)
5. Attempt total amount not evenly divisible by parts (e.g. 101 MPS ÷ 5)
6. Verify minimum part size check uses USD value of MPS correctly
7. Check USD estimation for total and per-part values</t>
  </si>
  <si>
    <t>1. Sell per part shown as whole integer (e.g. 20 MPS, not 20.000...)
2. non-divisible total: UI handles gracefully (rounds down, shows warning, or adjusts parts)
3. USD estimation per part = integer MPS amount × MPS/USD price without decimal errors
4. minimum part size ($5 on Gnosis Chain) validated against USD value of integer MPS parts
5. no fractional MPS amounts anywhere in the TWAP configuration</t>
  </si>
  <si>
    <t>TW-19</t>
  </si>
  <si>
    <t>TWAP orders table: not connected user — no tabs shown</t>
  </si>
  <si>
    <t>No wallet connected; TWAP/Advanced orders page open</t>
  </si>
  <si>
    <t>1. Open swap.cow.fi/#/1/advanced/ without connecting wallet
2. Observe orders table</t>
  </si>
  <si>
    <t xml:space="preserve">1. Orders table does not show any tabs
</t>
  </si>
  <si>
    <t>TW-20</t>
  </si>
  <si>
    <t>TWAP orders table: unsupported network — no tabs + Unsupported network message</t>
  </si>
  <si>
    <t>Wallet connected to an unsupported network; TWAP page open</t>
  </si>
  <si>
    <t>1. Connect wallet to unsupported network
2. Open Advanced/TWAP orders page
3. Observe orders table</t>
  </si>
  <si>
    <t xml:space="preserve">1. Orders table shows no tabs
2. Unsupported network message displayed on table
</t>
  </si>
  <si>
    <t>TW-21</t>
  </si>
  <si>
    <t>TWAP orders table: supported network — non-Safe wallet — same as no open orders state</t>
  </si>
  <si>
    <t>Non-Safe wallet (EOA/MetaMask/Rabby/Base SA) connected to a supported network</t>
  </si>
  <si>
    <t>1. Connect a non-Safe wallet to supported network
2. Open Advanced/TWAP page
3. Observe orders table</t>
  </si>
  <si>
    <t xml:space="preserve">1. Table behaves as the no open orders state
</t>
  </si>
  <si>
    <t>TW-22</t>
  </si>
  <si>
    <t>TWAP orders table: Safe connected — no orders — OPEN default + ORDERS HISTORY clickable</t>
  </si>
  <si>
    <t>Safe wallet connected to supported network; no TWAP orders placed yet</t>
  </si>
  <si>
    <t>1. Connect Safe wallet
2. Navigate to Advanced/TWAP page
3. Observe default active tab
4. Click ORDERS HISTORY</t>
  </si>
  <si>
    <t>1. OPEN tab active by default with empty content (not changed)
2. ORDERS HISTORY tab is clickable with unchanged empty content
3. same flow as Limit orders no-orders state</t>
  </si>
  <si>
    <t>TW-23</t>
  </si>
  <si>
    <t>TWAP orders table: user places TWAP order — SIGNING tab appears + navigation to SIGNING</t>
  </si>
  <si>
    <t>Safe wallet connected; fallback handler installed; user on another tab (e.g. ORDERS HISTORY)</t>
  </si>
  <si>
    <t>1. Be on any tab other than SIGNING
2. Place a TWAP order
3. Observe which tab appears and is active</t>
  </si>
  <si>
    <t>1. Order appears in SIGNING tab
2. SIGNING tab appears to the left of OPEN (if not already shown)
3. user navigated to the SIGNING tab</t>
  </si>
  <si>
    <t>TW-24</t>
  </si>
  <si>
    <t>TWAP orders table: signing order is signed and fillable — SIGNING removed + OPEN</t>
  </si>
  <si>
    <t>TWAP order in SIGNING; user on SIGNING tab; Safe tx executed and order is fillable</t>
  </si>
  <si>
    <t>1. Complete Safe transaction signing
2. Order is deemed fillable
3. Observe table</t>
  </si>
  <si>
    <t>TW-25</t>
  </si>
  <si>
    <t>TWAP orders table: signing order is signed and unfillable — OPEN + UNFILLABLE tab</t>
  </si>
  <si>
    <t>TWAP order in SIGNING; Safe tx executed but order is unfillable</t>
  </si>
  <si>
    <t>1. Complete Safe tx signing
2. Order is unfillable (insufficient balance/allowance)
3. Observe table</t>
  </si>
  <si>
    <t>1. Order removed from SIGNING
2. appears on OPEN tab
3. UNFILLABLE tab appears to right of OPEN
4. user navigated to OPEN tab
5. SIGNING tab removed if no more signing orders</t>
  </si>
  <si>
    <t>TW-26</t>
  </si>
  <si>
    <t>TWAP orders table: unfillable order/part becomes fillable — UNFILLABLE removed — navigated to OPEN</t>
  </si>
  <si>
    <t>TWAP order/part in UNFILLABLE state; user is on UNFILLABLE tab; balance/allowance restored</t>
  </si>
  <si>
    <t>1. Have TWAP part in UNFILLABLE (user on UNFILLABLE tab)
2. Restore balance/allowance above part amount
3. Observe table</t>
  </si>
  <si>
    <t>1. Order removed from UNFILLABLE tab
2. order still displayed on OPEN tab
3. if no more unfillable orders UNFILLABLE tab disappears
4. user navigated to OPEN if they were on UNFILLABLE</t>
  </si>
  <si>
    <t>TW-27</t>
  </si>
  <si>
    <t>TWAP orders table: partially filled — stays on OPEN — pending parts show SCHEDULED status</t>
  </si>
  <si>
    <t>Active TWAP order on OPEN tab; one or more parts have been executed</t>
  </si>
  <si>
    <t>1. Place TWAP order with multiple parts
2. Let at least one part execute
3. Observe parent order and individual part statuses</t>
  </si>
  <si>
    <t>1. Parent order still displayed on OPEN tab
2. not-yet-started/executed parts show Scheduled status (TWAP-specific additional status not present in Limit orders)</t>
  </si>
  <si>
    <t>TW-28</t>
  </si>
  <si>
    <t>TWAP orders table: all parts filled (or last part fills) — order moved to ORDERS HISTORY — no navigation</t>
  </si>
  <si>
    <t>Active TWAP order; all parts have been executed</t>
  </si>
  <si>
    <t>1. Let all TWAP parts fill (or let the last part fill)
2. Observe table after last fill</t>
  </si>
  <si>
    <t>1. Order no longer on OPEN tab
2. moved to ORDERS HISTORY tab
3. no navigation — user stays where they are</t>
  </si>
  <si>
    <t>TW-29</t>
  </si>
  <si>
    <t>TWAP orders table: user cancels parent TWAP order — shows Cancelling status on OPEN</t>
  </si>
  <si>
    <t>Active TWAP parent order; user initiates full order cancellation</t>
  </si>
  <si>
    <t>1. Click cancel on TWAP parent order
2. Sign the on-chain Safe cancellation tx
3. Observe order row on OPEN tab</t>
  </si>
  <si>
    <t>Order still displayed on OPEN tab with Cancelling status as soon as the cancellation request is signed</t>
  </si>
  <si>
    <t>TW-30</t>
  </si>
  <si>
    <t>TWAP orders table: cancelling last part of TWAP — shows Cancelling on OPEN</t>
  </si>
  <si>
    <t>TWAP order with only last part remaining; user cancels that last part</t>
  </si>
  <si>
    <t>1. Have only last TWAP part remaining in Open state
2. Cancel the last part
3. Sign on-chain Safe tx
4. Observe</t>
  </si>
  <si>
    <t>Order still displayed on OPEN tab with Cancelling status (because it is the last remaining part)</t>
  </si>
  <si>
    <t>TW-31</t>
  </si>
  <si>
    <t>TWAP orders table: cancelling non-last TWAP part — parent shows Open status on OPEN</t>
  </si>
  <si>
    <t>TWAP order with multiple parts remaining; user cancels a non-last part</t>
  </si>
  <si>
    <t>1. Have TWAP order with 3+ parts remaining
2. Cancel a non-last part
3. Sign Safe on-chain tx
4. Observe</t>
  </si>
  <si>
    <t>Order still displayed on OPEN tab with Open status (not Cancelling) because other parts remain active</t>
  </si>
  <si>
    <t>TW-32</t>
  </si>
  <si>
    <t>TWAP orders table: cancelled last part — order moved to ORDERS HISTORY — no navigation</t>
  </si>
  <si>
    <t>TWAP last part in Cancelling state; cancellation is confirmed on-chain</t>
  </si>
  <si>
    <t>1. Wait for on-chain last-part cancellation to confirm
2. Observe table</t>
  </si>
  <si>
    <t>TW-33</t>
  </si>
  <si>
    <t>TWAP orders table: cancelled non-last part — parent stays on OPEN with Open status</t>
  </si>
  <si>
    <t>TWAP order with multiple parts; cancellation of a non-last part is confirmed on-chain</t>
  </si>
  <si>
    <t>1. Wait for non-last part cancellation to confirm
2. Observe table</t>
  </si>
  <si>
    <t>1. Parent order still on OPEN tab with Open status
2. only the cancelled part is removed from the execution schedule
3. remaining parts unaffected</t>
  </si>
  <si>
    <t>TW-34</t>
  </si>
  <si>
    <t>TWAP orders table: full parent order cancellation confirmed — ORDERS HISTORY — no navigation</t>
  </si>
  <si>
    <t>TWAP parent order in Cancelling state; all remaining parts cancelled on-chain</t>
  </si>
  <si>
    <t>1. Wait for full TWAP parent order cancellation to confirm
2. Observe table</t>
  </si>
  <si>
    <t>TW-35</t>
  </si>
  <si>
    <t>TWAP orders table: expired last part — order moved to ORDERS HISTORY — no navigation</t>
  </si>
  <si>
    <t>TWAP order with only last part remaining; last part time window expires without fill</t>
  </si>
  <si>
    <t>1. Have TWAP order with only last part in Open/Scheduled
2. Let last part time window expire
3. Observe table</t>
  </si>
  <si>
    <t>TW-36</t>
  </si>
  <si>
    <t>TWAP orders table: expired non-last part — parent stays on OPEN with Open status</t>
  </si>
  <si>
    <t>TWAP order with multiple parts; a non-last part time window expires without fill</t>
  </si>
  <si>
    <t>1. Have TWAP order with multiple parts
2. Let a non-last part expire
3. Observe table</t>
  </si>
  <si>
    <t>1. Parent order still displayed on OPEN tab with Open status
2. expired part removed from schedule
3. remaining Scheduled/Open parts continue as normal</t>
  </si>
  <si>
    <t>TW-37</t>
  </si>
  <si>
    <t>TWAP part status: SCHEDULED shown for pending parts when parent is OPEN</t>
  </si>
  <si>
    <t>Active TWAP parent order on OPEN tab; multiple parts configured; at least one part is currently active</t>
  </si>
  <si>
    <t>1. Place TWAP order with 5 parts
2. Let first part become active (Open)
3. Observe status of remaining 4 parts</t>
  </si>
  <si>
    <t>1. Parts not yet started show Scheduled status in the expanded TWAP parts view
2. this SCHEDULED status is TWAP-specific and does not exist in Limit orders
3. the currently executing part shows Open status</t>
  </si>
  <si>
    <t>TWAP-specific additional status per spec. TWAP parts have SCHEDULED status when a parent is OPEN but the part has not yet started executing</t>
  </si>
  <si>
    <t>TW-38</t>
  </si>
  <si>
    <t>USDT approval: revoke-then-approve flow for TWAP order when existing allowance &lt; order amount (Ethereum)</t>
  </si>
  <si>
    <t xml:space="preserve">existing USDT allowance for CoW Protocol is non-zero but less than the order amount (e.g. 2 USDT approved, ordering 2000 USDT); </t>
  </si>
  <si>
    <t xml:space="preserve">
1. Navigate to the TWAP tab
2. Select USDT as sell token (verify existing allowance is 2 USDT)
3. Enter a sell amount that exceeds the existing allowance (e.g. 2000 USDT)
4. Observe the approval UI — should show a 2-step approval flow, not a single approve
5.  Place the TWAP order as normal</t>
  </si>
  <si>
    <t xml:space="preserve">1. UI displays a 2-step approval flow specific to USDT (revoke first, then approve)
2. 2 transactions are included into the bundle: 
First TX is approve(0) sent to USDT contract — sets allowance to 0
Second TX is approve(newAmount) — sets allowance to the required amount
</t>
  </si>
  <si>
    <t>TW-39</t>
  </si>
  <si>
    <t>USDT approval: no revoke or approve needed for TWAP order when existing allowance ≥ order amount</t>
  </si>
  <si>
    <t>1.  Navigate to the TWAP tab
2. Select USDT as sell token 
3. Enter a sell amount ≤ existing allowance
4. Proceed with the TWAP order</t>
  </si>
  <si>
    <t>1. No approval prompt shown — existing allowance is sufficient
2. No revoke TX requested
3. No approve TX requested
4. Twap order proceeds directly to signing/placement
5. USDT allowance is not modified</t>
  </si>
  <si>
    <t>TW-40</t>
  </si>
  <si>
    <t>TWAP Settings: Custom Recipient toggle visible in settings panel</t>
  </si>
  <si>
    <t>TWAP tab open; settings (gear) icon visible</t>
  </si>
  <si>
    <t>1. Open TWAP tab on swap.cow.fi/#/1/advanced
2. Click the settings icon next to 'My orders'
3. Observe 'TWAP Settings' section</t>
  </si>
  <si>
    <t>1. Settings panel opens
2. 'Custom Recipient' toggle is shown with an info (?) tooltip
3. Toggle is OFF by default</t>
  </si>
  <si>
    <t>TW-41</t>
  </si>
  <si>
    <t>TWAP Settings: TWAP Interface — Desktop: Left-Aligned Orders Table toggle</t>
  </si>
  <si>
    <t>TWAP settings panel open on desktop viewport</t>
  </si>
  <si>
    <t>1. Toggle 'Desktop: Left-Aligned Orders Table' ON
2. Place a TWAP order (or use Safe with existing orders) so the orders table is rendered
3. Toggle OFF again and observe</t>
  </si>
  <si>
    <t>1. With toggle ON the orders table is aligned to the left of the viewport on desktop
2. With toggle OFF the orders table returns to the default centered/right-aligned layout
3. Setting persists across reloads</t>
  </si>
  <si>
    <t>TW-42</t>
  </si>
  <si>
    <t>TWAP: send final outcome to Custom Recipient — recipient field &amp; warning</t>
  </si>
  <si>
    <t>Safe wallet connected; TWAP tab open; 'Custom Recipient' toggle enabled in settings</t>
  </si>
  <si>
    <t>1. Enable 'Custom Recipient' in TWAP settings
2. A 'Recipient' field appears between the buy token card and rate section with 'Wallet Address or ENS name' placeholder and a Paste button
3. Paste a valid recipient address (different from connected wallet)
4. Configure a valid TWAP (sell token, parts, duration, price protection)
5. Click 'Review &amp; sign' / Place TWAP order</t>
  </si>
  <si>
    <t>1. Recipient field shown when Custom Recipient is enabled
2. App validates the address (ENS supported)
3. A warning banner is displayed informing the user that the final outcome (bought tokens) will be sent to the specified external recipient and to make sure the address is correct (cannot be undone)
4. After confirmation, filled parts settle to the custom recipient address, not the connected Safe</t>
  </si>
  <si>
    <t>TW-43</t>
  </si>
  <si>
    <t>TWAP: Custom Recipient — invalid address rejected</t>
  </si>
  <si>
    <t>Custom Recipient enabled on TWAP tab</t>
  </si>
  <si>
    <t>1. Enter an invalid address (e.g. '0x123', random text, or a non-existent ENS)
2. Try to place the TWAP order</t>
  </si>
  <si>
    <t>1. Address is rejected / shown as invalid
2. Place order button is disabled or the form blocks submission until a valid address or ENS is provided</t>
  </si>
  <si>
    <t>TW-44</t>
  </si>
  <si>
    <t>TWAP: only sell order type supported (no buy mode)</t>
  </si>
  <si>
    <t>TWAP tab open</t>
  </si>
  <si>
    <t>1. Open TWAP tab on swap.cow.fi/#/1/advanced
2. Compare the form to the Limit tab where 'Buy' mode is available (Sell/Receive at least toggling)
3. Try to enter an amount into the buy-token field</t>
  </si>
  <si>
    <t>1. TWAP form only exposes a 'Sell' amount input — the buy-side amount is calculated/derived (Receive incl. fees)
2. The buy token field is read-only with respect to the order type — only the receive estimation is displayed</t>
  </si>
  <si>
    <t>TW-45</t>
  </si>
  <si>
    <t>TWAP: selling a native token (ETH) is not supported</t>
  </si>
  <si>
    <t>TWAP tab open; Safe connected on Ethereum (or any chain whose native token is ETH/xDAI/etc.)</t>
  </si>
  <si>
    <t>1. Try to select the native token (ETH on Mainnet) as the SELL token via the token selector
2. Observe the token list and selection behavior</t>
  </si>
  <si>
    <t>1. Minimum is 2 parts (TWAP requires at least two parts)
2. Maximum is 100 parts (per CoW spec); values above are clamped or rejected
3. Sell per part = total sell amount / parts; Buy per part ≈ Expected receive / parts; both update live on every change
4. If part size falls below the minimum-per-part threshold ($1k Mainnet / $5 Gnosis / $1 other L2s) the Place TWAP order button is disabled with a warning
5. Spinner accepts only integers; non-numeric or 0/1 entries are rejected/normalised</t>
  </si>
  <si>
    <t>TW-46</t>
  </si>
  <si>
    <t>TWAP: No. of parts control — min/max enforcement</t>
  </si>
  <si>
    <t>TWAP form being configured</t>
  </si>
  <si>
    <t>1. Open the 'Total duration' selector and pick a preset (e.g. 1 Hour)
2. Verify 'Part duration' = Total duration / No. of parts
3. Enter a custom Total duration and change No. of parts; verify Part duration recalculates live
4. Drive Part duration below 5 minutes (e.g. Total 8m / 2 parts = 4m) and verify warning
5. Drive Total duration to/above 1 year and verify it is rejected/clamped (parity with Limit order max)</t>
  </si>
  <si>
    <t>1. Part duration = Total duration / No. of parts (e.g. 10m / 2 parts → 5m, matching the confirm modal in the reference image)
2. Part duration updates automatically when either Total duration or No. of parts changes
3. Custom total durations supported per UI
4. Minimum part duration is 5 minutes; below it a warning is displayed and order is not allowed
5. Maximum Total duration is 1 year (parity with Limit order)</t>
  </si>
  <si>
    <t>TW-47</t>
  </si>
  <si>
    <t>TWAP: Total duration &amp; Part duration — relationship</t>
  </si>
  <si>
    <t>TWAP form being configured with No. of parts = N</t>
  </si>
  <si>
    <t>1. Open the 'Total duration' selector and pick a value (e.g. 1 Hour)
2. Observe 'Part duration'
3. Change 'Total duration' and 'No. of parts' to new values
4. check min part duration
5. max part duraiton</t>
  </si>
  <si>
    <t>1. Part duration = Total duration / No. of parts (e.g. 1h / 2 parts → 30m)
2. Part duration updates automatically when either Total duration or No. of parts changes
3. Custom total durations are supported per UI; very short part durations show a warning
4. min part duration is 5 minutes: if it is less, than a warning is displayed.
5. same as for a limit order duraiton - 1 year</t>
  </si>
  <si>
    <t>TW-48</t>
  </si>
  <si>
    <t>TWAP order: protocol volume fee 0.02% (2 bps) on standard token pair</t>
  </si>
  <si>
    <t>Wallet connected; TWAP tab open; standard non-correlated pair selected (e.g. WETH → USDC); valid TWAP configured (sell amount, parts, total duration)</t>
  </si>
  <si>
    <t>1. Open TWAP tab on swap.cow.fi/#/1/advanced
2. Select a standard pair (WETH → USDC)
3. Configure a valid TWAP order (e.g. parts=4, duration=1h)
4. Review the order summary / costs breakdown for each part and totals
5. Identify the Protocol fee on each part and on the aggregate order</t>
  </si>
  <si>
    <t>1. Order summary shows a Protocol fee component on each filled part and/or in aggregate
2. Protocol fee ≈ filled-volume × 0.0002 (2 bps) per part
3. Fee is denominated in the surplus token (buy token for sell-side TWAP)
4. Aggregate fee across all parts ≈ total filled volume × 0.0002</t>
  </si>
  <si>
    <t>Per docs (Volume Fee, Standard Assets): Volume × 0.0002 = 0.02%. Volume Fee applies to ALL orders including TWAP. Discrete TWAP parts that are out-of-market at generation may additionally incur the surplus fee — separate case.</t>
  </si>
  <si>
    <t>TW-49</t>
  </si>
  <si>
    <t>TWAP order: protocol volume fee 0.003% (0.3 bps) on correlated assets (stables/RWAs)</t>
  </si>
  <si>
    <t>Wallet connected; TWAP tab open; correlated pair selected (e.g. USDC → USDT or DAI → USDC); valid TWAP configured</t>
  </si>
  <si>
    <r>
      <rPr>
        <rFont val="Arial"/>
        <color rgb="FF000000"/>
        <sz val="9.0"/>
      </rPr>
      <t xml:space="preserve">1. Open TWAP tab on </t>
    </r>
    <r>
      <rPr>
        <rFont val="Arial"/>
        <color rgb="FF1155CC"/>
        <sz val="9.0"/>
        <u/>
      </rPr>
      <t>swap.cow.fi/</t>
    </r>
    <r>
      <rPr>
        <rFont val="Arial"/>
        <color rgb="FF000000"/>
        <sz val="9.0"/>
      </rPr>
      <t>#/1/advanced
2. Select a correlated pair (USDC → USDT)
3. Configure a valid TWAP (e.g. parts=4, duration=1h)
4. Review costs breakdown per part and aggregate
5. Identify Protocol fee per part
6. Repeat with another stable/RWA correlated pair (e.g. DAI → USDC)</t>
    </r>
  </si>
  <si>
    <t>1. Order summary shows Protocol fee on each filled part
2. Protocol fee per part ≈ part-volume × 0.00003 (0.3 bps)
3. Aggregate fee ≈ total filled volume × 0.00003
4. Fee is ~6.67× smaller than the standard 2 bps tier on equivalent volume</t>
  </si>
  <si>
    <t>Per docs (Volume Fee, Correlated Assets — Stables/RWAs): Volume × 0.00003 = 0.003%. Applies to TWAP parts of correlated-asset pairs as classified by CoW Protocol.</t>
  </si>
  <si>
    <t>TW-50</t>
  </si>
  <si>
    <t>TWAP confirm modal: amount-calculation summary (Sell/part, Buy/part, Min receive, Rate, Limit price incl fees, durations, Start time)</t>
  </si>
  <si>
    <t>Safe wallet connected; TWAP configured with N parts (e.g. 2), Total duration (e.g. 10m), valid sell amount</t>
  </si>
  <si>
    <t>1. Open the TWAP confirm modal
2. Read: Sell amount, Receive (before fees), Rate, Protocol fee, Safe App License Fee, Network costs, Expected receive, Price protection, Minimum receive, Limit price (incl. fees), Rewards code
3. Read the 'TWAP order split in N equal parts' block: Sell per part (1/N), Buy per part (1/N), Start time first part (1/N), Part duration, Total duration
4. Verify each value against its formula (see Expected)</t>
  </si>
  <si>
    <t>1. Sell per part = Sell amount / N
2. Buy per part ≈ Expected receive / N (rounded to buy-token precision)
3. Part duration = Total duration / N; Start time first part = Now
4. Minimum receive = Expected receive × (1 − price protection)
5. Rate = USD-derived indicative price; Limit price (incl. fees) is worse than Rate by the price-protection band
6. Reference values from the image (3.7052 USDT → 0.00175 WETH, 2 parts, 10% protection): Sell/part 1.8526 USDT, Buy/part ≈0.000868 WETH, Part 5 min, Total 10 min, Min receive 0.001735 WETH</t>
  </si>
  <si>
    <t>Reference image shows Safe App confirm modal with all calculation fields</t>
  </si>
  <si>
    <t>TW-51</t>
  </si>
  <si>
    <t>TWAP: Rate vs Limit price (incl. fees) — price-protection band</t>
  </si>
  <si>
    <t>TWAP configured; confirm modal open showing Rate and Limit price (incl. fees)</t>
  </si>
  <si>
    <t>1. Note default price protection (10%); read Rate and Limit price (incl. fees)
2. Change price protection to 0% and re-read Limit price
3. Change to 50% then 99.99% and re-read Limit price each time
4. Toggle the price unit (sell/buy denomination) and confirm both Rate and Limit price flip consistently</t>
  </si>
  <si>
    <t>1. Rate is the indicative price (e.g. 1 WETH = 2116.6998 USDT in the reference image)
2. At 0% protection: Limit price ≈ Rate (only the small fee adjustment remains)
3. Limit price always represents a worse rate for the taker than Rate (more sell required per unit of buy / less buy per unit of sell)
4. At 10% protection on the reference image: Rate 1 WETH = 2116.6998 USDT, Limit price 1 WETH = 2135.1112 USDT (≈ +0.87% wider than Rate, matching the fee-adjusted protection band)
5. Price-unit toggle keeps both values mathematically equivalent (reciprocal)</t>
  </si>
  <si>
    <t>Verify exact formula direction with product: Limit price = Rate × (1 + protection adjustment in sell-denominated view) and the inverse for buy-denominated view.</t>
  </si>
  <si>
    <t>TW-52</t>
  </si>
  <si>
    <t>TWAP: Minimum receive calculation across price-protection edge values</t>
  </si>
  <si>
    <t>TWAP configured with a valid order and confirm modal open</t>
  </si>
  <si>
    <t>1. Set price protection = 0% and record Minimum receive
2. Set price protection = 10% (default) and verify Min receive against the reference image (0.001735 WETH for 0.001737 WETH expected, i.e. ~0.1% buffer due to display rounding)
3. Set price protection = 99.99% and verify Min receive collapses to near-zero (but &gt;0)
4. Verify Min receive units = buy-token units; USD estimation updates in sync</t>
  </si>
  <si>
    <t>1. At 0%: Minimum receive ≈ Expected receive (only rounding)
2. At 10%: Minimum receive = Expected receive × (1 − 0.10), matches displayed value
3. At 99.99%: Minimum receive ≈ Expected receive × 0.0001 (&gt;0)
4. Per-part minimum applied uniformly: each part inherits the same limit price, so aggregate Min receive ≈ N × per-part minimum</t>
  </si>
  <si>
    <t>Compare 0.001735 vs 0.001737 reference values — the ~0.1% gap is below 10% because the modal also rounds; check raw signed order for the exact bound.</t>
  </si>
  <si>
    <t>TW-53</t>
  </si>
  <si>
    <t>TWAP: Receive (before fees) vs Expected receive — fee aggregation on the buy side</t>
  </si>
  <si>
    <t>Safe wallet connected; TWAP configured; confirm modal showing 'Receive (before fees)' and 'Expected to receive'</t>
  </si>
  <si>
    <t>1. Read 'Sell amount', 'Receive (before fees)' and 'Rate'
2. Read 'Protocol fee', 'Safe App License Fee' and 'Network costs' (all denominated in buy token)
3. Read 'Expected to receive'
4. Compute: Receive(before fees) − (Protocol fee + Safe App License Fee + Network costs) and compare to Expected receive</t>
  </si>
  <si>
    <t>1. Receive (before fees) ≈ Sell amount × Rate (in buy-token units)
2. All three fees are denominated in the buy token
3. Expected to receive = Receive (before fees) − Protocol fee − Safe App License Fee − Network costs (within display rounding)
4. USD estimates next to each row are consistent (sum-of-parts equals total within rounding)</t>
  </si>
  <si>
    <t>Exact fee % covered by TW-48 / TW-49 and Safe App License Fee cases — do not assert specific amounts here.</t>
  </si>
  <si>
    <t>TW-54</t>
  </si>
  <si>
    <t>TWAP: fee line ordering and units on confirm modal</t>
  </si>
  <si>
    <t>TWAP confirm modal open</t>
  </si>
  <si>
    <t>1. Inspect the fee block order: Rate → Protocol fee → Safe App License Fee → Network costs → Expected to receive
2. Verify each fee row shows token amount, '+ gas' suffix where applicable (Network costs), and USD estimate
3. Hover the (i) tooltip on each fee row to confirm explanatory text loads</t>
  </si>
  <si>
    <t>1. Fees appear in the documented order matching the reference image
2. All fees denominated in buy token; Network costs may include '+ gas' label
3. Tooltips open without errors and contain documentation links where appropriate</t>
  </si>
  <si>
    <t>Specific fee % covered by other cases (TW-48/TW-49 and Safe App fee cases).</t>
  </si>
  <si>
    <t>TW-55</t>
  </si>
  <si>
    <t>TWAP: non-divisible split — per-part rounding and total reconciliation</t>
  </si>
  <si>
    <t>Safe wallet connected; TWAP configured with a total/parts combination that does not divide evenly (e.g. 10 USDC over 3 parts; or 1 wei over 3 parts on a high-decimal token)</t>
  </si>
  <si>
    <t>1. Configure a non-divisible split (e.g. 10 USDC / 3 parts)
2. Read Sell per part on the confirm modal
3. Place the order and inspect per-part sell amounts in the orders table / signed payload
4. Repeat for a 0-decimal token (MPS on Gnosis Chain) where rounding is whole units</t>
  </si>
  <si>
    <t>1. Sell per part is rounded down to the buy/sell token precision
2. Sum of per-part sell amounts equals the total sell amount exactly (any residual is absorbed by the last part)
3. No part has sell amount = 0 (otherwise the configuration is rejected before signing)
4. For 0-decimal tokens: each part is a whole-unit integer; non-divisible totals are either rejected or last part absorbs the residual</t>
  </si>
  <si>
    <t>ASSUMPTION: last-part residual absorption — confirm with product/source before running. Alternative implementations distribute residual to first part or split evenly with ceiling.</t>
  </si>
  <si>
    <t>TW-56</t>
  </si>
  <si>
    <t>TWAP: per-part scheduling — Start time first part = Now, subsequent parts at Now + (k-1) × Part duration</t>
  </si>
  <si>
    <t>Safe wallet connected; TWAP configured with N=3 parts, Part duration = 5m, Total duration = 15m</t>
  </si>
  <si>
    <t>1. Open the TWAP confirm modal
2. Read 'Start time first part (1/N)' value
3. Place the order and observe the orders table: scheduled times of parts 2/N and 3/N
4. Wait until part 1 fills/expires and confirm part 2 becomes active at the scheduled time</t>
  </si>
  <si>
    <t>1. Start time first part is 'Now' on the confirm modal
2. After signing, part 1 is immediately active/open
3. Part k start time = order signed time + (k-1) × Part duration (parts 2..N show SCHEDULED until their start time)
4. Each part's valid-to = part start + Part duration; no overlap between parts</t>
  </si>
  <si>
    <t>Compare with TW-37 (SCHEDULED status). Reference image shows Start time first part = 'Now'.</t>
  </si>
  <si>
    <t>TW-57</t>
  </si>
  <si>
    <t>TWAP: Rewards code (MOOOO) propagation across parent and each part</t>
  </si>
  <si>
    <t>Safe wallet connected with rewards (referrer) code active; TWAP configured with N parts</t>
  </si>
  <si>
    <t>1. Open the TWAP confirm modal and verify 'Rewards code' = MOOOO
2. Place the order
3. Open the parent order details and each child part order details
4. Inspect appData / order metadata in the order receipt for each part</t>
  </si>
  <si>
    <t>1. Rewards code value on confirm modal matches the active referrer code (MOOOO in the reference image)
2. Each part inherits the same Rewards code (visible on receipt / appData)
3. Parent TWAP receipt shows the same Rewards code as each part</t>
  </si>
  <si>
    <t>Compare with the corresponding market/limit-order rewards-code propagation cases.</t>
  </si>
  <si>
    <t>Cross-Chain Swap Tests</t>
  </si>
  <si>
    <t>CoW Swap  |  swap.cow.fi  |  CrossChain</t>
  </si>
  <si>
    <t>CC-01</t>
  </si>
  <si>
    <t>Cross-chain swap UI: accessible via Swap form</t>
  </si>
  <si>
    <t>Wallet connected on a supported source chain</t>
  </si>
  <si>
    <t>1. Open swap.cow.fi
2. Locate the cross-chain / bridge option (tab or dropdown)
3. Verify it is accessible from the main Swap UI</t>
  </si>
  <si>
    <t>1. Cross-chain swap option visible and accessible from main Swap form
2. UI clearly attributes the active bridge provider per route (Bungee for EVM&lt;-&gt;EVM, Near Intents for non-EVM destinations)
3. Not confused with regular Swap (distinct route panel with two stops)</t>
  </si>
  <si>
    <t>Multiple providers exist (Bungee, Near Intents). Provider is auto-selected per route and the best price, not user-chosen. Verify provider name/logo shown in UI matches route (e.g. Bungee for Arb USDC -&gt; Base DAI; Near Intents for Arb -&gt; Solana/BTC/BNB-native).</t>
  </si>
  <si>
    <t>CC-02</t>
  </si>
  <si>
    <t>Cross-chain swap: Near provider</t>
  </si>
  <si>
    <t>Wallet connected on Ethereum Mainnet; ETH or ERC-20 balance &gt; 0</t>
  </si>
  <si>
    <t>1. Select source chain: Ethereum Mainnet
2. Select destination chain: BNB
3. Select sell and buy tokens
4. Enter amount
5. Verify recipient address shown (defaults to connected wallet)
6. Confirm and sign</t>
  </si>
  <si>
    <t>1. Cross-chain order routed through the single bridge provider
2. tokens arrive on BNB
3. bridge TX hash shown for tracking</t>
  </si>
  <si>
    <t>CC-03</t>
  </si>
  <si>
    <t>Cross-chain swap:Bungee provider</t>
  </si>
  <si>
    <t>Wallet connected on Arbitrum (or another Bungee-supported EVM chain); ERC-20 balance &gt; 0 (e.g. USDC)</t>
  </si>
  <si>
    <t>1. Source chain: Arbitrum; sell token: USDC
2. Destination chain: Base; buy token: DAI
3. Enter amount 
4. Verify route panel shows 2 stops: 'Swap on CoW Protocol' then 'Bridge via Bungee'
5. Verify swap leg line items: Protocol fee, Network costs (est.), Expected to receive, Max. swap slippage (dynamic), Recipient,  Min. to receive, Quote ID (Verified)
6. Verify 'Swap bridged via your Account Proxy: 0x...' banner with explorer link
7. Verify bridge leg line items: Est. bridge time, Bridge costs, Expected to receive, Min. to deposit, Recipient, Min. to receive
8. Click Confirm Swap and Bridge; sign</t>
  </si>
  <si>
    <t>1. Order routed via Bungee provider
2. Account Proxy address shown as intermediate recipient on the swap leg
3. Final tokens received on Base at user's connected wallet (or custom recipient if set)
4. Bridge TX hash shown for tracking
5. Quote auto-refreshes every 15s while modal open</t>
  </si>
  <si>
    <t>Most likely, Bungee will be picked with these route selection. However, if Near provides the best quote, it will be picked automatically</t>
  </si>
  <si>
    <t>CC-04</t>
  </si>
  <si>
    <t>Cross-chain: recipient address — defaults to connected wallet</t>
  </si>
  <si>
    <t>Cross-chain swap configured</t>
  </si>
  <si>
    <t>1. Load a cross-chain swap
2. Check the recipient address field before confirming
3. Verify it is pre-filled with connected wallet address</t>
  </si>
  <si>
    <t>1. Recipient defaults to connected wallet address
2. address is clearly visible to user before confirmation
3. no hidden or auto-changed recipient</t>
  </si>
  <si>
    <t>CC-05</t>
  </si>
  <si>
    <t>Cross-chain: custom recipient address — valid address accepted</t>
  </si>
  <si>
    <t>Cross-chain swap form open
Custom recipient option is switched ON in the settings</t>
  </si>
  <si>
    <t>1. Change recipient to a different valid address on the destination chain
2. Verify address accepted
3. Confirm and execute swap</t>
  </si>
  <si>
    <t>1. Custom recipient accepted
2. tokens arrive at the specified destination address (not connected wallet)
3. warning or confirmation prompt shown before placing order with non-self recipient</t>
  </si>
  <si>
    <t>Critical: verify funds go to correct address. Cross-chain transfers are typically irreversible</t>
  </si>
  <si>
    <t>CC-06</t>
  </si>
  <si>
    <t>Cross-chain: recipient address — invalid address rejected</t>
  </si>
  <si>
    <t>"Cross-chain swap form open
Custom recipient option is switched ON in the settings"</t>
  </si>
  <si>
    <t>1. Enter an invalid address in recipient field (wrong format, wrong checksum, EVM address on non-EVM chain)
2. Attempt to proceed</t>
  </si>
  <si>
    <t>1. Invalid address highlighted with error
2. swap cannot proceed
3. clear error message shown
4. user prompted to correct the address</t>
  </si>
  <si>
    <t>ENS names are not supported as a custom recipient for cross-chain swaps</t>
  </si>
  <si>
    <t>CC-07</t>
  </si>
  <si>
    <t>Cross-chain: recipient address — wrong chain prefix warning</t>
  </si>
  <si>
    <t>Cross-chain swap form open; destination chain differs from recipient address prefix</t>
  </si>
  <si>
    <t>1. Select destination chain (e.g. Arbitrum)
2. Enter recipient address with a different chain prefix (e.g. Ethereum address format when destination is Arbitrum, or base:0x... prefix)
3. Observe warning</t>
  </si>
  <si>
    <t>1. Warning shown near recipient field indicating address prefix does not match destination chain
2. user prompted to verify before proceeding</t>
  </si>
  <si>
    <t>CC-08</t>
  </si>
  <si>
    <t>Cross-chain: confirm modal shows recipient address prominently</t>
  </si>
  <si>
    <t>Cross-chain swap ready to confirm</t>
  </si>
  <si>
    <t>1. Proceed to confirm modal for a cross-chain swap
2. Check that recipient address is displayed on the confirm modal</t>
  </si>
  <si>
    <t>1. Recipient address clearly shown on confirm modal (not just at form stage)
2. user has final opportunity to verify before signing</t>
  </si>
  <si>
    <t>Verification at confirm stage is critical for cross-chain safety</t>
  </si>
  <si>
    <t>CC-09</t>
  </si>
  <si>
    <t>Cross-chain: bridge provider shown in UI</t>
  </si>
  <si>
    <t>Cross-chain swap mode active</t>
  </si>
  <si>
    <t>1. Open cross-chain swap
2. Look for provider attribution in the UI (logo, name, or 'Powered by' label)</t>
  </si>
  <si>
    <t>1. Bridge provider name/logo clearly shown on the route panel (e.g. 'Bridge via Bungee' or 'Bridge via Near Intents')
2. Provider auto-selected per the best price
3. Single provider per quote (no manual switcher) - user can identify which service is routing the transfer</t>
  </si>
  <si>
    <t>Only one provider available — UI should make this clear so users know what they are using</t>
  </si>
  <si>
    <t>CC-10</t>
  </si>
  <si>
    <t>Cross-chain: status tracking after submission</t>
  </si>
  <si>
    <t>Cross-chain swap submitted</t>
  </si>
  <si>
    <t>1. Submit a cross-chain swap
2. Monitor status in the orders/activity view
3. Track through: initiated → bridging → completed states</t>
  </si>
  <si>
    <t>1. Progress status shown at each stage
2. bridge TX hash linked
3. final 'completed' state shown when tokens arrive on destination chain
4. link to destination chain explorer where applicable</t>
  </si>
  <si>
    <t>CC-11</t>
  </si>
  <si>
    <t>Cross-chain: unsupported chain pair shows clear error</t>
  </si>
  <si>
    <t>Cross-chain swap UI open</t>
  </si>
  <si>
    <t>1. Attempt to select an unsupported source or destination chain
2. Or attempt an unsupported token pair across chains</t>
  </si>
  <si>
    <t>1. No route or any other error appears on the form, it is not possible to place an order</t>
  </si>
  <si>
    <t>CC-12</t>
  </si>
  <si>
    <t>Cross-chain: estimated fees and time shown before confirmation</t>
  </si>
  <si>
    <t>Cross-chain swap configured with valid token pair and amount</t>
  </si>
  <si>
    <t>1. Configure cross-chain swap
2. Check fee breakdown and estimated bridge time before clicking confirm</t>
  </si>
  <si>
    <t>Swap leg shows: Protocol fee, Network costs (est.), Expected to receive, Max. swap slippage, Recipient,  Min. to receive, Quote ID (Verified).
Bridge leg shows: Est. bridge time, Bridge costs, Expected to receive, Min. to deposit, Recipient, Min. to receive.
Form's 'Receive (incl. fees)' equals bridge Expected to receive. Header subtitle '(-X%)' is total quote slippage vs spot.
User has full cost visibility before committing.</t>
  </si>
  <si>
    <t>CC-13</t>
  </si>
  <si>
    <t>Cross-chain: single provider selected automatically — best price shown</t>
  </si>
  <si>
    <t>Cross-chain swap mode; valid token pair across two chains</t>
  </si>
  <si>
    <t>1. Select a cross-chain route (e.g. Mainnet → Arbitrum, ETH → ETH)
2. Enter swap amount
3. Observe the provider section in the UI
4. Check whether one provider is auto-selected or multiple are presented for user choice</t>
  </si>
  <si>
    <t>1. A single bridge provider is auto-selected by CoW Swap based on route and best price
2. No manual provider selection UI shown
3. Provider name/logo displayed</t>
  </si>
  <si>
    <t>CoW Swap picks the provider offering the best price automatically — users do not choose between providers. CC-15 is now obsolete and removed.</t>
  </si>
  <si>
    <t>CC-14</t>
  </si>
  <si>
    <t>Cross-chain: provider quote updates when amount changes</t>
  </si>
  <si>
    <t>Cross-chain swap form open with a valid token pair</t>
  </si>
  <si>
    <t>1. Enter a cross-chain swap amount
2. Observe provider and quoted receive amount
3. Change the sell amount (increase and decrease)
4. Observe whether the provider or quoted amount updates</t>
  </si>
  <si>
    <t>1. Quote auto-refreshes every 30s; 'Quote refresh in N sec' countdown shown
2. On amount change, BOTH swap and bridge legs re-quote atomically; receive amount and fees update
3. If destination chain change makes another provider optimal, the auto-selected provider switches (e.g. Bungee -&gt; Near Intents when switching dest to Solana)
4. No stale quote can be signed: quote must be fresh (within refresh window)</t>
  </si>
  <si>
    <t>Same as on Swaps</t>
  </si>
  <si>
    <t>CC-15</t>
  </si>
  <si>
    <t>Cross-chain: ETH-flow source — native ETH sent cross-chain</t>
  </si>
  <si>
    <t>EOA wallet connected on Ethereum Mainnet; ETH balance &gt; 0</t>
  </si>
  <si>
    <t>1. Select cross-chain mode
2. Set source chain: Ethereum Mainnet, sell token: ETH (native)
3. Set destination chain and buy token
4. Enter amount
5. Confirm and sign</t>
  </si>
  <si>
    <t>1. Native ETH accepted as sell token for cross-chain swap without requiring WETH wrapping first
2. on-chain TX created for the bridge
3. ETH deducted from source
4. destination token received on target chain</t>
  </si>
  <si>
    <t>EOA wallet only — SC wallets may require wrapping ETH first before cross-chain swap</t>
  </si>
  <si>
    <t>CC-16</t>
  </si>
  <si>
    <t>Cross-chain: ETH-flow source — SC wallet must wrap ETH first</t>
  </si>
  <si>
    <t>Safe or Base Smart Account connected; ETH in wallet; cross-chain mode</t>
  </si>
  <si>
    <t>1. Connect SC wallet
2. Select cross-chain, ETH as sell token
3. Observe whether wrap step is required</t>
  </si>
  <si>
    <t xml:space="preserve">1. SC wallet prompted to wrap ETH -&gt; WETH before initiating cross-chain swap (no native ETH-flow for SC wallets)
2. Wrap TX appears in Safe queue if applicable
3. Cross-chain swap from SC wallet only succeeds when route uses Near Intents provider; Bungee routes are not supported for SC wallets
</t>
  </si>
  <si>
    <t>Smart wallets (Safe / Base Smart Account) supported for cross-chain ONLY via Near Intents provider. Bungee swap-and-bridge does not support SC wallets at this time.</t>
  </si>
  <si>
    <t>CC-17</t>
  </si>
  <si>
    <t>Cross-chain: swap to Solana — SOL or SPL token as destination</t>
  </si>
  <si>
    <t>Wallet connected on EVM chain; Solana wallet address available</t>
  </si>
  <si>
    <t>1. Select a sell token
2. Set destination chain: Solana
3. Enter recipient Solana address (base58 format)
4. Select destination token (SOL or SPL token)
5. Review and confirm</t>
  </si>
  <si>
    <t>1. Solana shown as selectable destination chain
2. Bridge leg shows 'Bridge via Near Intents' (Solana not supported by Bungee)
3. Recipient REQUIRED for Solana (no default); 'Send to Solana wallet' field with Paste button shown
4. Until recipient entered: primary button label 'Recipient is required for Solana' (disabled)
5. After valid base58 pasted but checkbox un-ticked: label 'Confirm recipient to swap' (disabled)
6. After 'Recipient is on Solana network. Confirm this is the correct address and that it exists on this chain.' checkbox ticked: button becomes 'Swap and Bridge' (enabled)
7. Tokens received in Solana wallet at specified address; amounts shown with SOL decimal precision (9)</t>
  </si>
  <si>
    <t>Non-EVM destination — address format differs from EVM 0x addresses. Verify address format validation handles base58</t>
  </si>
  <si>
    <t>CC-18</t>
  </si>
  <si>
    <t>Cross-chain: Solana recipient — invalid base58 address rejected</t>
  </si>
  <si>
    <t>Destination chain: Solana</t>
  </si>
  <si>
    <t>1. Enter an EVM-format (0x) address as Solana recipient
2. Enter a malformed base58 string
3. Observe validation</t>
  </si>
  <si>
    <t>1. EVM address rejected for Solana destination
2. malformed base58 rejected
3. clear error message distinguishing EVM vs Solana address format</t>
  </si>
  <si>
    <t>CC-19</t>
  </si>
  <si>
    <t>Cross-chain: swap to Bitcoin — BTC as destination</t>
  </si>
  <si>
    <t>Wallet connected on EVM chain; Bitcoin wallet address available (bech32 or legacy)</t>
  </si>
  <si>
    <t>1. Select a sell token
2. Set destination chain: Bitcoin
3. Enter recipient Bitcoin address (bech32 format e.g. bc1q...)
4. Select BTC as buy token
5. Review and confirm</t>
  </si>
  <si>
    <t>1. Bitcoin shown as selectable destination chain
2. Bridge leg uses Near Intents only (BTC not supported by Bungee)
3. BTC recipient (bech32 e.g. bc1q... or legacy) required and validated; no default
4. 'Recipient is on Bitcoin network. Confirm this is the correct address and that it exists on this chain.' checkbox required before swap can proceed
5. Bridge step shows 'Modified recipient address to: ...' (Near Intents deposit address) on swap leg, NOT Account Proxy
6. BTC received at specified address; amounts shown with BTC decimal precision (8); irreversibility warning shown</t>
  </si>
  <si>
    <t>Non-EVM destination with entirely different address format. Critical: BTC transactions irreversible</t>
  </si>
  <si>
    <t>CC-20</t>
  </si>
  <si>
    <t>Cross-chain: Bitcoin recipient — invalid address rejected</t>
  </si>
  <si>
    <t>Destination chain: Bitcoin</t>
  </si>
  <si>
    <t>1. Enter EVM address (0x...) as Bitcoin recipient
2. Enter malformed BTC address
3. Enter testnet BTC address (tb1...) when on mainnet
4. Observe validation for each</t>
  </si>
  <si>
    <t>1. All invalid BTC addresses rejected
2. specific error for each case (wrong format, testnet vs mainnet mismatch)
3. cannot proceed until valid BTC mainnet address entered</t>
  </si>
  <si>
    <t>CC-21</t>
  </si>
  <si>
    <t xml:space="preserve">Cross-chain: recipient warning for SC wallet or a smart wallet (base)
</t>
  </si>
  <si>
    <t>SC wallet or a smart wallet (base)
Cross-chain swap with custom recipient (different from connected wallet)</t>
  </si>
  <si>
    <t>1. Set a cross-chain swap
2. Proceed to confirm modal
3. Check warning display</t>
  </si>
  <si>
    <t>1. Prominent warning banner shown: 'Recipient &lt;addr&gt; is on &lt;Network&gt; network. Confirm this is the correct address and that it exists on this chain.'
2. Recipient address displayed prominently with explorer link
3. Explicit 'Confirm' checkbox must be ticked before primary button ('Approve, Swap &amp; Bridge' or 'Swap and Bridge') becomes enabled
4. Warning persists across quote refresh; checkbox state does not reset on refresh unless recipient changes</t>
  </si>
  <si>
    <t>CC-22</t>
  </si>
  <si>
    <t>Cross-chain: non-EVM destination recipient — format guidance shown</t>
  </si>
  <si>
    <t>Destination chain set to Solana or Bitcoin</t>
  </si>
  <si>
    <t>1. Switch destination to Solana or Bitcoin
2. Observe recipient field placeholder and any helper text</t>
  </si>
  <si>
    <t>1. Recipient field shows format hint appropriate for destination chain (e.g. 'Enter Solana address (base58)' or 'Enter Bitcoin address')
2. field validates correct format for chain</t>
  </si>
  <si>
    <t>CC-23</t>
  </si>
  <si>
    <t>Cross-chain: price impact &gt; 10% on swap step — confirm price modal shown</t>
  </si>
  <si>
    <t>Cross-chain swap configured with a token pair where the swap step results in &gt; 15% price impact</t>
  </si>
  <si>
    <t>1. Select a cross-chain swap with a large amount relative to available liquidity
2. Observe that price impact on the swap step exceeds 10%
3. Click 'Confirm Swap'
4. Observe additional confirmation step / modal</t>
  </si>
  <si>
    <t>1. Confirm-price modal shown after clicking Confirm Swap
2. Price impact &gt; xx% displayed prominently with red/warning styling
3. User must type 'Confirm' (or equivalent acknowledgement) before signing
4. Price impact applies to swap leg only; bridge leg has no PI concept (only Bridge costs and bridge slippage)
5. Bridging step does not proceed until swap step PI confirmation accepted</t>
  </si>
  <si>
    <t>Cross-chain price impact thresholds differ from regular swap thresholds. First known threshold: &gt; 10% triggers confirm modal. Price impact applies to the swap step on the source chain, not the bridge step.</t>
  </si>
  <si>
    <t>CC-24</t>
  </si>
  <si>
    <t>Cross-chain: price impact &gt;=5% on swap step - acknowledgement modal shown</t>
  </si>
  <si>
    <t>Cross-chain swap configured where the swap step price impact is between 10% and 15%</t>
  </si>
  <si>
    <t>1. Configure cross-chain swap with price impact at the second threshold level
2. Observe swap form before clicking Confirm
3. Check for warning banner and any change to the Confirm button state</t>
  </si>
  <si>
    <t xml:space="preserve">1. Acknowledgement modal shown when PI &gt;= 10% on the swap leg
2. User must check 'Swap anyway' (or equivalent) before signing
</t>
  </si>
  <si>
    <t>CC-25</t>
  </si>
  <si>
    <t>Cross-chain: sell/buy amounts and USD estimations correct for tokens with different decimal precision</t>
  </si>
  <si>
    <t>Wallet connected; cross-chain swap mode active; tokens with varying decimals available on source chain: e.g. ETH (18 dec) or WBTC (8 dec) as sell, USDC (6 dec) as buy on destination</t>
  </si>
  <si>
    <t>1. Select ETH (18 dec) on Mainnet as sell token
2. Select USDC (6 dec) on Arbitrum as buy token
3. Enter sell amount; verify:
   - Sell USD estimation correct
   - Swap Min. to receive (intermediate token) correctly scaled
   - Expected deposit amount = Swap min. to receive
   - Bridge Min. to receive = Swap min. to receive − bridge cost
   - Buy USD estimation on destination chain correct
4. Repeat with WBTC (8 dec) sell → USDC (6 dec) buy cross-chain
5. Check bridge cost and estimated time displayed consistently</t>
  </si>
  <si>
    <t>All USD estimations and token amounts correctly scaled across decimal mismatch between source and destination tokens.
Calculation invariants (verify on the route panel):
- Swap.Expected_to_receive ~= Sell_amount * Price_swap - Network_costs - Protocol_fee
- Swap.Min_to_receive = Swap.Expected_to_receive * (1 - swap_slippage)
- Bridge.Min_to_deposit = Swap.Min_to_receive
- Bridge.Expected_to_receive = Bridge.Min_to_deposit * Bridge_rate - Bridge_costs
- Bridge.Min_to_receive = Bridge.Expected_to_receive * (1 - bridge_slippage)
- Form 'Receive (incl. fees)' ~= Bridge.Expected_to_receive
- Header subtitle '(-X%)' = total quote slippage vs spot
No truncation or off-by-decimal errors at any step of the breakdown.</t>
  </si>
  <si>
    <t>Common precision combinations: 18-dec (ETH, WETH) × 6-dec (USDC, USDT) × 8-dec (WBTC) × 0-dec (MPS on Gnosis Chain). Cross-chain adds an extra dimension: source and destination tokens may have different decimals on different chains (e.g. USDC is 6-dec on Ethereum but may differ on other chains). USD estimations must use correct decimal scaling for both the swap step and the bridge step.</t>
  </si>
  <si>
    <t>CC-26</t>
  </si>
  <si>
    <t>Cross-chain: 0-decimal token as source (MPS on Gnosis Chain) — amounts and USD estimation</t>
  </si>
  <si>
    <t>Wallet connected on Gnosis Chain; MPS (0-decimal ERC-20) balance available; cross-chain swap mode active with Gnosis Chain as source</t>
  </si>
  <si>
    <t>1. Switch to Gnosis Chain; open cross-chain swap
2. Select MPS as sell token
3. Observe sell amount field — input should accept only whole integers
4. Enter a whole integer sell amount (e.g. 100 MPS)
5. Attempt fractional input (e.g. 0.5 MPS) → verify rejection or clamping
6. Select a destination chain and buy token
7. Verify USD estimation for sell amount correct (integer MPS × MPS price)
8. Verify swap step quote (intermediate token amount) correctly scaled
9. Verify bridge step quote and final destination amount consistent</t>
  </si>
  <si>
    <t>1. MPS sell amount accepts only whole integers
2. fractional input rejected or clamped with clear indication
3. sell USD estimation = integer MPS amount × current MPS/USD price, no decimal shift
4. intermediate token amount (swap step output) correctly calculated from 0-decimal input
5. bridge step amounts consistent with swap step output
6. no decimal artifacts in any displayed field</t>
  </si>
  <si>
    <t>MPS is a 0-decimal ERC-20 on Gnosis Chain. As a source token: no fractional input allowed; amounts must be whole integers. USD estimation must scale correctly. Note: MPS as a cross-chain destination is only possible if the bridge provider supports it — verify availability first.</t>
  </si>
  <si>
    <t>CC-28</t>
  </si>
  <si>
    <t>Cross-chain: Bungee - Account Proxy banner shown on swap leg</t>
  </si>
  <si>
    <t>specify a cross-chain swap with bungee</t>
  </si>
  <si>
    <t xml:space="preserve">
2. Locate the 'Swap bridged via your Account Proxy: 0x...' banner on the swap leg
3. Click the address link; verify it opens block explorer for source chain (Arbitrum) at the Account Proxy address
</t>
  </si>
  <si>
    <t xml:space="preserve">1. Account Proxy banner shown ONLY on Bungee swap leg
2. Address link opens correct block explorer for source chain at Account Proxy address
</t>
  </si>
  <si>
    <t>Account Proxy is the user's CoW per-account contract on source chain used to forward funds to Bungee. Banner is informational and should be explorer-linked for trust.</t>
  </si>
  <si>
    <t>CC-29</t>
  </si>
  <si>
    <t>Cross-chain: Near Intents - Modified recipient address banner shown on swap leg</t>
  </si>
  <si>
    <t>Specofy a cross-chain swap with Near</t>
  </si>
  <si>
    <t>2. Locate 'Modified recipient address to: 0x...' banner on swap leg
3. Verify the address shown DIFFERS from the user's connected wallet (it is the Near intent deposit address on source chain)
4. Click the link; verify it opens block explorer for source chain
5. Refresh quote; verify address may differ across refreshes (each intent gets a fresh deposit address)</t>
  </si>
  <si>
    <t>1. Modified recipient address banner shown ONLY on Near Intents swap leg
2. Address differs from connected wallet and is explorer-linked
3. Recipient field on swap leg matches the deposit address (e.g. 0x6ea1...8791 or 0xE7Bb...7475 in screenshots)</t>
  </si>
  <si>
    <t>Near Intents creates a per-intent deposit address. Swap leg sends to it; bridge leg picks it up and delivers to final user-specified destination address on target chain.</t>
  </si>
  <si>
    <t>CC-30</t>
  </si>
  <si>
    <t>Cross-chain: calculation parity - form 'Receive (incl. fees)' equals bridge 'Expected to receive'</t>
  </si>
  <si>
    <t>Cross-chain swap configured with a stable quote</t>
  </si>
  <si>
    <t>1. Configure Arb USDC -&gt; Base DAI (Bungee); read 'Receive (incl. fees)' on form header
2. Expand route panel; read bridge step 'Expected to receive' and 'Min. to receive'
3. Verify form Receive == bridge Expected to receive (within rounding)
4. Verify form 'Min. to receive' == bridge Min. to receive
5. Repeat with Arb USDC -&gt; Solana SOL (Near Intents) and Arb USDC -&gt; BNB native (Near Intents)</t>
  </si>
  <si>
    <t>1. Form 'Receive (incl. fees)' equals bridge 'Expected to receive' across both providers (Bungee, Near Intents) and all decimal precisions tested
2. Form 'Min. to receive' equals bridge 'Min. to receive'
3. No mismatch between summary and breakdown at any decimal precision (USDC 6 -&gt; DAI 18, USDC 6 -&gt; SOL 9, USDC 6 -&gt; BNB 18, USDC 6 -&gt; BTC 8)</t>
  </si>
  <si>
    <t>CC-31</t>
  </si>
  <si>
    <t>Cross-chain: calculation parity - bridge 'Min. to deposit' equals swap 'Min. to receive'</t>
  </si>
  <si>
    <t>Cross-chain swap configured; both Bungee and Near Intents routes available</t>
  </si>
  <si>
    <t>1. Configure Arb USDC -&gt; Base DAI (Bungee); expand route panel
2. Read swap leg 'Min. to receive' and bridge leg 'Min. to deposit'
3. Verify they are equal
4. Repeat for Arb USDC -&gt; SOL (Near Intents) and Arb USDC -&gt; BNB (Near Intents)
5. Verify equality across decimals (USDC 6 -&gt; DAI 18 / SOL 9 / BNB 18 / BTC 8)</t>
  </si>
  <si>
    <t>1. Bridge 'Min. to deposit' equals swap 'Min. to receive' exactly (handoff value between legs)
2. Holds across both providers and all decimal precisions
3. If unequal, classify as defect: handoff mismatch could trap funds at intermediate hop</t>
  </si>
  <si>
    <t>CC-36</t>
  </si>
  <si>
    <t>Cross-chain: BTC vs Solana destination - flow differences and shared gating</t>
  </si>
  <si>
    <t>Both BTC and Solana available as destination chains (Near Intents)</t>
  </si>
  <si>
    <t>1. Run a full Solana destination flow (recipient required, base58 validation, checkbox required)
2. Run a full BTC destination flow (recipient required, bech32/legacy validation, checkbox required)
3. For each: try invalid format (EVM 0x, testnet tb1 for BTC on mainnet, malformed base58)
4. Check decimal precision of destination amounts (SOL 9, BTC 8)
5. Submit successful orders for both; verify TX/intent tracking and explorer links</t>
  </si>
  <si>
    <t>Shared:
- Both require recipient (no default); both require network-confirmation checkbox
- Both route via Near Intents only (Bungee unavailable)
- Both show 'Modified recipient address to' banner on swap leg (no Account Proxy)
Differences:
- Solana: base58 (32-44 chars, no 0/O/I/l); rejects 0x; SOL has 9 decimals
- BTC: bech32 (bc1q...) or legacy (1.../3...); rejects 0x and testnet tb1 on mainnet; BTC has 8 decimals; irreversibility warning more prominent
- Status tracking: Solana -&gt; Solana explorer (e.g. solscan); BTC -&gt; Bitcoin explorer (e.g. blockstream); neither uses Etherscan for destination leg</t>
  </si>
  <si>
    <t>Use this case to ensure consistency in gating UX between BTC and Solana flows while accounting for address-format and explorer differences.</t>
  </si>
  <si>
    <t>UI / UX Tests</t>
  </si>
  <si>
    <t>CoW Swap  |  swap.cow.fi  |  UIUX</t>
  </si>
  <si>
    <t>UI-01</t>
  </si>
  <si>
    <t>Page loads within 3 seconds</t>
  </si>
  <si>
    <t>Performance</t>
  </si>
  <si>
    <t>Standard broadband connection</t>
  </si>
  <si>
    <t>1. Open swap.cow.fi in fresh browser tab
2. Measure load time</t>
  </si>
  <si>
    <t>Swap UI interactive within 3 seconds</t>
  </si>
  <si>
    <t>UI-02</t>
  </si>
  <si>
    <t>Mobile responsive layout</t>
  </si>
  <si>
    <t>Mobile browser or DevTools mobile emulation</t>
  </si>
  <si>
    <t>1. Open swap.cow.fi on 375px wide viewport
2. Navigate all tabs</t>
  </si>
  <si>
    <t>1. All elements readable
2. no horizontal scroll
3. buttons tappable</t>
  </si>
  <si>
    <t>UI-03</t>
  </si>
  <si>
    <t>Dark mode rendering</t>
  </si>
  <si>
    <t>OS dark mode enabled</t>
  </si>
  <si>
    <t>1. Load site with system dark mode
2. Toggle manually if available</t>
  </si>
  <si>
    <t>No unreadable white-on-white or black-on-black text</t>
  </si>
  <si>
    <t>UI-04</t>
  </si>
  <si>
    <t>Order tabs navigation (Swap/Limit/TWAP)</t>
  </si>
  <si>
    <t>1. Click each tab in order
2. Verify correct panel loads</t>
  </si>
  <si>
    <t>1. Correct order form shown per tab
2. no content bleed between tabs</t>
  </si>
  <si>
    <t>UI-05</t>
  </si>
  <si>
    <t>Token search &amp; selection</t>
  </si>
  <si>
    <t>Token selector open</t>
  </si>
  <si>
    <t>1. Click sell/buy token
2. Type token name or address
3. Select result</t>
  </si>
  <si>
    <t>1. Correct token found via name and contract address
2. icon displayed</t>
  </si>
  <si>
    <t>UI-06</t>
  </si>
  <si>
    <t>Swap direction toggle (flip)</t>
  </si>
  <si>
    <t>Both tokens selected</t>
  </si>
  <si>
    <t>1. Click the swap-direction arrow between tokens</t>
  </si>
  <si>
    <t>1. Sell/buy tokens swapped
2. amounts recalculated correctly</t>
  </si>
  <si>
    <t>UI-07</t>
  </si>
  <si>
    <t>Transaction receipt links to explorer</t>
  </si>
  <si>
    <t>Swap completed</t>
  </si>
  <si>
    <t>1. Click tx hash in order history</t>
  </si>
  <si>
    <t>Opens correct block explorer for current network</t>
  </si>
  <si>
    <t>UI-08</t>
  </si>
  <si>
    <t>Error state: wallet not connected</t>
  </si>
  <si>
    <t>1. Try to interact with swap form without connecting wallet</t>
  </si>
  <si>
    <t>1. 'Connect Wallet' CTA shown
2. helpful message displayed</t>
  </si>
  <si>
    <t>UI-09</t>
  </si>
  <si>
    <t>Header: CoW Swap logo navigates to home / swap form</t>
  </si>
  <si>
    <t>Any page of swap.cow.fi open</t>
  </si>
  <si>
    <t>1. Navigate to a sub-page (e.g. /account)
2. Click the CoW Swap logo in the header</t>
  </si>
  <si>
    <t>1. Navigates to the main swap form (/#/swap or root)
2. page loads without errors</t>
  </si>
  <si>
    <t>UI-10</t>
  </si>
  <si>
    <t>Header: all navigation links open correct destinations</t>
  </si>
  <si>
    <t>swap.cow.fi open in browser; check each header link</t>
  </si>
  <si>
    <t>1. Click each header navigation link in turn: Swap, Limit, Advanced (TWAP), Account
2. For any external links in the header (e.g. Docs, Blog, Stats): click and verify destination opens in a new tab</t>
  </si>
  <si>
    <t>1. Each internal link navigates to the correct page/tab within the app
2. external links open in a new tab
3. no 404s or broken destinations
4. active link highlighted correctly for current page</t>
  </si>
  <si>
    <t>Cross-chain swap is accessed from within the Swap form (token selector), not via a dedicated header link.</t>
  </si>
  <si>
    <t>UI-11</t>
  </si>
  <si>
    <t>Header: Settings (gear) icon opens settings modal</t>
  </si>
  <si>
    <t>swap.cow.fi open</t>
  </si>
  <si>
    <t>1. Click the gear/settings icon in the header
2. Observe modal content</t>
  </si>
  <si>
    <t>Settings modal opens
Settings are opened on every form (swap/limit/twap/hooks)</t>
  </si>
  <si>
    <t>UI-12</t>
  </si>
  <si>
    <t>Header: layout correct and no overflow at 1280px and 1920px desktop widths</t>
  </si>
  <si>
    <t>Desktop browser</t>
  </si>
  <si>
    <t>1. Set viewport to 1280px wide → inspect header
2. Set viewport to 1920px wide → inspect header</t>
  </si>
  <si>
    <t>1. Header items correctly laid out at both widths
2. no text or icon overflow
3. logo, nav links, and wallet button all visible and aligned</t>
  </si>
  <si>
    <t>UI-13</t>
  </si>
  <si>
    <t>Footer: all links open correct destinations</t>
  </si>
  <si>
    <t>swap.cow.fi open; scroll to footer</t>
  </si>
  <si>
    <t>1. Locate the footer section
2. Click each link:
3. Verify each destination</t>
  </si>
  <si>
    <t>1. All footer links open the correct external destination in a new tab
2. no broken or dead links</t>
  </si>
  <si>
    <t>Check both social links and legal/docs links</t>
  </si>
  <si>
    <t>UI-14</t>
  </si>
  <si>
    <t>Footer: version / build info displayed</t>
  </si>
  <si>
    <t>1. Scroll to footer
2. Look for app version, build hash, or similar build info</t>
  </si>
  <si>
    <t>1. App version or commit hash shown in footer
2. useful for bug reporting</t>
  </si>
  <si>
    <t>UI-15</t>
  </si>
  <si>
    <t>Mobile (375px — iPhone SE): swap form fully functional</t>
  </si>
  <si>
    <t>Browser DevTools mobile emulation or real device; viewport 375×667px</t>
  </si>
  <si>
    <t>1. Open swap.cow.fi at 375px viewport width
2. Verify swap form visible and usable: token selectors, amount inputs, Swap button, settings icon
3. Connect wallet (if supported)
4. Open token selector modal — verify scrollable and searchable
5. Navigate to Limit and TWAP tabs</t>
  </si>
  <si>
    <t>1. All form elements fit within 375px without horizontal scroll
2. inputs tappable with no overlap
3. token selector modal fills screen correctly
4. tab navigation works
5. no text truncation that hides critical information</t>
  </si>
  <si>
    <t>Primary mobile breakpoint. Already partially covered by UI-02 (375px check) — this test is more thorough.</t>
  </si>
  <si>
    <t>UI-16</t>
  </si>
  <si>
    <t>Mobile (390px — iPhone 14): layout and touch targets</t>
  </si>
  <si>
    <t>Viewport 390×844px (iPhone 14 / 15 size)</t>
  </si>
  <si>
    <t>1. Open at 390px width
2. Check all buttons have sufficient tap target size (≥ 44px)
3. Scroll through the full page
4. Open and close modals (settings, token selector, confirm)</t>
  </si>
  <si>
    <t>1. All interactive elements have adequate tap target size
2. no elements clipped by viewport
3. modals open and close correctly
4. scrolling smooth with no content cut off</t>
  </si>
  <si>
    <t>UI-17</t>
  </si>
  <si>
    <t>Tablet (768px — iPad portrait): layout transitions correctly from mobile</t>
  </si>
  <si>
    <t>Viewport 768×1024px (iPad portrait)</t>
  </si>
  <si>
    <t>1. Open swap.cow.fi at 768px width
2. Check swap form layout
3. Check header — verify whether mobile hamburger or full nav shown
4. Navigate all main tabs (Swap, Limit, TWAP, Cross-chain, Account)
5. Verify orders table layout</t>
  </si>
  <si>
    <t>1. Layout transitions cleanly from mobile to tablet breakpoint
2. swap form well-proportioned at 768px
3. header shows appropriate navigation for this width
4. no layout breaking, overlapping elements, or unexpected whitespace</t>
  </si>
  <si>
    <t>UI-18</t>
  </si>
  <si>
    <t>Tablet (1024px — iPad landscape / small laptop): layout at mid-width</t>
  </si>
  <si>
    <t>Viewport 1024×768px</t>
  </si>
  <si>
    <t>1. Open at 1024px width
2. Check swap form, header, footer, and orders table
3. Verify sidebar or two-column layout if applicable</t>
  </si>
  <si>
    <t>1. Content fills the 1024px width appropriately
2. no excessive whitespace or cramped elements
3. full desktop navigation visible</t>
  </si>
  <si>
    <t>UI-19</t>
  </si>
  <si>
    <t>Browser: Chrome (latest stable) — full functionality</t>
  </si>
  <si>
    <t>Compatibility</t>
  </si>
  <si>
    <t>Chrome latest stable; MetaMask or other wallet extension installed</t>
  </si>
  <si>
    <t>1. Open swap.cow.fi in Chrome
2. Connect wallet
3. Place a market swap order
4. Navigate all major sections (Swap, Limit, Account)</t>
  </si>
  <si>
    <t>1. All functionality works correctly
2. no  errors related to browser compatibility</t>
  </si>
  <si>
    <t>Primary supported browser — baseline for all other tests</t>
  </si>
  <si>
    <t>UI-20</t>
  </si>
  <si>
    <t>Browser: Firefox (latest stable) — full functionality</t>
  </si>
  <si>
    <t>Firefox latest stable; wallet extension installed (MetaMask for Firefox)</t>
  </si>
  <si>
    <t>1. Open swap.cow.fi in Firefox
2. Connect wallet
3. Place a swap order
4. Check token selector, modals, animations</t>
  </si>
  <si>
    <t>1. All core functionality works in Firefox
2. no layout breakages specific to Firefox
3. wallet connection works via injected provider</t>
  </si>
  <si>
    <t>UI-21</t>
  </si>
  <si>
    <t>Browser: Safari (latest stable, macOS) — full functionality</t>
  </si>
  <si>
    <t>Safari latest stable on macOS; wallet via WalletConnect or browser extension</t>
  </si>
  <si>
    <t>1. Open swap.cow.fi in Safari
2. Connect wallet (WalletConnect or MetaMask if available)
3. Interact with swap form
4. Check for Safari-specific rendering issues (fonts, flex layout, animations)</t>
  </si>
  <si>
    <t>1. App loads and functions correctly in Safari
2. no WebKit-specific layout bugs
3. wallet connection works
4. no issues with Safari's stricter localStorage/cookie policies</t>
  </si>
  <si>
    <t>Safari has stricter privacy settings — check for storage access issues</t>
  </si>
  <si>
    <t>UI-22</t>
  </si>
  <si>
    <t>Browser: Safari on iOS (mobile) — full functionality</t>
  </si>
  <si>
    <t>iPhone with Safari (latest iOS); WalletConnect-compatible wallet app installed</t>
  </si>
  <si>
    <t>1. Open swap.cow.fi in iOS Safari
2. Connect via WalletConnect deep-link
3. Interact with swap form at mobile viewport
4. Check for iOS Safari quirks: input zoom on focus, bottom bar overlap, safe-area insets</t>
  </si>
  <si>
    <t>1. App usable in iOS Safari
2. inputs do not zoom on tap (font-size ≥ 16px or zoom disabled)
3. no content hidden behind iOS browser chrome / home indicator
4. WalletConnect deep-link launches wallet app correctly</t>
  </si>
  <si>
    <t>iOS Safari is the only browser engine on iPhone — critical coverage</t>
  </si>
  <si>
    <t>UI-23</t>
  </si>
  <si>
    <t>Browser: Brave — no ad-blocking interference with app functionality</t>
  </si>
  <si>
    <t>Brave browser with default shields enabled; wallet extension installed</t>
  </si>
  <si>
    <t>1. Open swap.cow.fi in Brave with shields up (default settings)
2. Check whether any requests are blocked that break functionality
3. Connect wallet and attempt a swap
4. Check for blocked RPC calls, analytics, or CDN resources</t>
  </si>
  <si>
    <t>1. Core swap functionality works with Brave shields at default settings
2. if shields block non-critical analytics that is acceptable
3. if shields block RPC or price feed calls the app should degrade gracefully with an informative error rather than a blank/broken state</t>
  </si>
  <si>
    <t>Hooks Tests</t>
  </si>
  <si>
    <t>CoW Swap  |  swap.cow.fi  |  Hooks</t>
  </si>
  <si>
    <t>HK-01</t>
  </si>
  <si>
    <t>Enable Hooks via settings toggle</t>
  </si>
  <si>
    <t>Wallet connected on a supported chain (Hooks not available for ETH-flow, Limit, TWAP tabs)</t>
  </si>
  <si>
    <t>1. Open swap.cow.fi on the Swap tab
2. Click the Settings (gear) icon
3. Locate the 'Hooks' toggle
4. Enable Hooks
5. Close settings
6. Verify Hooks tab/option is now visible in the swap form</t>
  </si>
  <si>
    <t>1. Hooks enabled
2. Hooks section or tab appears in the swap UI
3. setting persists on page refresh</t>
  </si>
  <si>
    <t>Per spec: 'Enable Hooks tab to place orders with Pre-Post iterations'. Hooks NOT available on ETH-flow, Limit, or TWAP tabs
Hooks are not avaible in the CoW Widget</t>
  </si>
  <si>
    <t>HK-02</t>
  </si>
  <si>
    <t>Hooks not available on ETH-flow</t>
  </si>
  <si>
    <t>Hooks enabled in settings; ETH selected as sell token (ETH-flow active)</t>
  </si>
  <si>
    <t>1. Enable Hooks in settings
2. Select ETH as sell token
3. Check whether Hooks tab/option is visible or accessible</t>
  </si>
  <si>
    <t>Error message is displayed, a user cannot place an order</t>
  </si>
  <si>
    <t>HK-03</t>
  </si>
  <si>
    <t>Add a Pre-hook to a swap order</t>
  </si>
  <si>
    <t>Hooks enabled;  ERC-20 tokens selected</t>
  </si>
  <si>
    <t>1. Open Hooks section
2. Click 'Add Pre-hook'
3. Select or configure a pre-hook action (e.g. token approval dApp)
4. Confirm hook configuration
5. Place swap order</t>
  </si>
  <si>
    <t>1. Pre-hook appears in hooks list
2. order placed with pre-hook attached
3. pre-hook executes before swap in settlement</t>
  </si>
  <si>
    <t>HK-04</t>
  </si>
  <si>
    <t>Add a Post-hook to a swap order</t>
  </si>
  <si>
    <t>Hooks enabled;</t>
  </si>
  <si>
    <t>1. Open Hooks section
2. Click 'Add Post-hook'
3. Configure a post-hook action
4. Place swap order</t>
  </si>
  <si>
    <t>1. Post-hook appears in hooks list
2. executes after swap in settlement batch</t>
  </si>
  <si>
    <t>HK-05</t>
  </si>
  <si>
    <t>Remove a hook before placing order</t>
  </si>
  <si>
    <t>One or more hooks configured</t>
  </si>
  <si>
    <t>1. Add a hook (pre or post)
2. Click remove/delete on the hook
3. Confirm removal</t>
  </si>
  <si>
    <t>1. Hook removed from list
2. order can proceed without it
3. no residual hook state</t>
  </si>
  <si>
    <t>HK-06</t>
  </si>
  <si>
    <t>Hooks section shows correct gas estimate impact</t>
  </si>
  <si>
    <t>Hooks enabled; pre or post hook configured</t>
  </si>
  <si>
    <t>1. Add a hook with known gas cost
2. Observe Network costs (est.) field</t>
  </si>
  <si>
    <t>1. Network costs updated to include hook gas overhead
2. tooltip breakdown reflects hook cost</t>
  </si>
  <si>
    <t>HK-07</t>
  </si>
  <si>
    <t>Disable Hooks — section disappears from form</t>
  </si>
  <si>
    <t>Hooks currently enabled</t>
  </si>
  <si>
    <t>1. Open Settings on Swap or Hooks tabs
2. Disable the Hooks toggle
3. Return to swap form</t>
  </si>
  <si>
    <t>1. Hooks section no longer visible in swap form
2. any previously configured hooks cleared or hidden</t>
  </si>
  <si>
    <t>RWA (Ondo &amp; xStocks) Tests</t>
  </si>
  <si>
    <r>
      <rPr>
        <rFont val="Arial"/>
        <i/>
        <color rgb="FFAAAAAA"/>
        <sz val="9.0"/>
      </rPr>
      <t xml:space="preserve">CoW Swap  |  </t>
    </r>
    <r>
      <rPr>
        <rFont val="Arial"/>
        <i/>
        <color rgb="FF1155CC"/>
        <sz val="9.0"/>
        <u/>
      </rPr>
      <t>swap.cow.fi</t>
    </r>
    <r>
      <rPr>
        <rFont val="Arial"/>
        <i/>
        <color rgb="FFAAAAAA"/>
        <sz val="9.0"/>
      </rPr>
      <t xml:space="preserve">  |  RWA (Ondo Global Markets + Backed xStocks)</t>
    </r>
  </si>
  <si>
    <t>RW-01</t>
  </si>
  <si>
    <t>RWA token availability — Ethereum Mainnet (chainId 1) lists Ondo + xStocks</t>
  </si>
  <si>
    <t>Wallet connected on Ethereum Mainnet; token search opened
use is on a supported location</t>
  </si>
  <si>
    <t>1. Connect wallet on Ethereum Mainnet
2. Open token selector for sell or buy side
3. Search for an Ondo token (e.g. USDon, USDY)
4. Search for an xStocks token (e.g. AAPLx, NVDAx)</t>
  </si>
  <si>
    <t>1. Ondo and xStocks tokens appear in the token list
2. Both lists are loaded as restricted/RWA token lists
3. Token logos and names render correctly</t>
  </si>
  <si>
    <t>RW-02</t>
  </si>
  <si>
    <t>RWA token availability — BNB Smart Chain (chainId 56) lists Ondo + xStocks</t>
  </si>
  <si>
    <t>Wallet connected on BNB Smart Chain
user is on a supported location</t>
  </si>
  <si>
    <t>1. Switch wallet/network to BNB Smart Chain
2. Open token selector
3. Search for an Ondo token
4. Search for an xStocks token</t>
  </si>
  <si>
    <t>1. Both Ondo and xStocks tokens are available on BNB Chain
2. Lists are fetched per chain</t>
  </si>
  <si>
    <t>RW-03</t>
  </si>
  <si>
    <t>RWA token availability — Arbitrum (chainId 42161) lists xStocks only (no Ondo)</t>
  </si>
  <si>
    <t>Wallet connected on Arbitrum One
a user is on a supported location</t>
  </si>
  <si>
    <t>1. Switch network to Arbitrum One
2. Open token selector
3. Search for an xStocks token (e.g. AAPLx)
4. Search for an Ondo token (e.g. USDY)</t>
  </si>
  <si>
    <t>1. xStocks tokens are available
2. Ondo tokens are NOT shown in the token list for Arbitrum
3. No Ondo restriction is applied</t>
  </si>
  <si>
    <t>RW-04</t>
  </si>
  <si>
    <t>RWA token availability — Ink (chainId 57073) lists xStocks only</t>
  </si>
  <si>
    <t>Wallet connected on Ink network
a user is on a supported locaiton</t>
  </si>
  <si>
    <t>1. Switch network to Ink
2. Open token selector
3. Search for xStocks and Ondo tokens</t>
  </si>
  <si>
    <t>1. xStocks tokens available
2. Ondo tokens NOT available on Ink</t>
  </si>
  <si>
    <t>RW-05</t>
  </si>
  <si>
    <t>RWA tokens NOT available on Gnosis/Polygon/Base/Avalanche/Plasma/Linea/Sepolia</t>
  </si>
  <si>
    <t>Wallet connected on Gnosis Chain (or Polygon, Base, Avalanche, Plasma, Linea, Sepolia)</t>
  </si>
  <si>
    <t>1. Switch network to Gnosis (then repeat for Polygon, Base, Avalanche, Plasma, Linea, Sepolia)
2. Open token selector
3. Search for Ondo and xStocks tokens</t>
  </si>
  <si>
    <t>1. Neither Ondo nor xStocks tokens appear on these chains
2. No RWA-related warnings/modals are triggered</t>
  </si>
  <si>
    <t>RW-06</t>
  </si>
  <si>
    <t>Geo restriction — user country in blocked list cannot trade RWA token</t>
  </si>
  <si>
    <t>RWA geoblock feature flag enabled; Geo API returns a blocked country code (e.g. US, DE, CN); Ondo or xStocks token selected on a supported chain</t>
  </si>
  <si>
    <t>1. Configure environment so geo API returns 'US' (or any blocked country)
2. Select USDY or AAPLx as buy/sell token
3. Attempt to place a swap, limit, or TWAP order</t>
  </si>
  <si>
    <t>1. Trade form shows the 'RestrictedForCountry' validation
2. Place order button is disabled or shows a restriction message
3. No order request is submitted
4. Behavior is the same on Swap, Limit, and TWAP tabs</t>
  </si>
  <si>
    <t>RW-07</t>
  </si>
  <si>
    <t>Geo restriction — blocked list coverage: US, Canada, China, Russia, all EU/EEA, sanctioned states</t>
  </si>
  <si>
    <t>RWA geoblock enabled; ability to spoof / vary geo response</t>
  </si>
  <si>
    <t>1. For each country in the blocked list (AF, DZ, BY, CA, CN, CU, KP, ER, IR, LY, MM, MA, NP, RU, SO, SS, SD, SY, US, VE, AT, BE, BG, HR, CY, CZ, DK, EE, FI, FR, DE, GR, HU, IE, IT, LV, LT, LU, MT, NL, PL, PT, RO, SK, SI, ES, SE, IS, LI, NO):
2. Simulate geo API returning that country
3. Try to interact with an Ondo or xStocks token</t>
  </si>
  <si>
    <t>1. Every country in the list triggers the Restricted state
2. Trade is blocked
3. Equivalent behavior for both Ondo and xStocks issuers (shared restriction list)</t>
  </si>
  <si>
    <t>RW-08</t>
  </si>
  <si>
    <t>Geo allowed — user country NOT in blocked list can trade without consent modal</t>
  </si>
  <si>
    <t>Positive</t>
  </si>
  <si>
    <t>RWA geoblock enabled; Geo API returns an allowed country (e.g. CH, GB, BR, JP, AU, AE)</t>
  </si>
  <si>
    <t>1. Geo API returns 'CH' (Switzerland) or any non-blocked country
2. Select an Ondo / xStocks token
3. Enter a valid amount and request a quote</t>
  </si>
  <si>
    <t>1. RwaTokenStatus = Allowed
2. No consent modal is shown
3. Quote loads and order can be placed normally</t>
  </si>
  <si>
    <t>RW-09</t>
  </si>
  <si>
    <t>Consent modal — appears when geo country is unknown (VPN / privacy / API failure)</t>
  </si>
  <si>
    <t>RWA geoblock enabled; Geo API returns null country (loading, error, or VPN); no prior consent for this wallet+hash</t>
  </si>
  <si>
    <t>1. Use a VPN or block geo API requests so country resolves to null
2. Connect wallet (record wallet address)
3. Select an Ondo or xStocks token</t>
  </si>
  <si>
    <t>1. RwaConsentModal is shown
2. Title: 'Additional confirmation required for this token' (or '...token list' for list-level consent)
3. Body text mentions: 'We could not reliably determine your location (e.g., due to VPN or privacy settings)'
4. Lists required attestations: NOT a U.S. Person, NOT EU/EEA resident, NOT in sanctioned jurisdictions, NOT in a securities-prohibited jurisdiction
5. 'I Confirm' and 'Cancel' buttons are present</t>
  </si>
  <si>
    <t>RW-10</t>
  </si>
  <si>
    <t>Consent — confirmed consent persists per wallet + consentHash (localStorage)</t>
  </si>
  <si>
    <t>Consent modal currently displayed for an Ondo/xStocks token; wallet is connected</t>
  </si>
  <si>
    <t>1. Click 'I Confirm' in the consent modal
2. Verify localStorage key 'rwaConsentCache:v1' contains an entry for {wallet}-{ipfsHash}
3. Reload the page; select another RWA token from the same issuer
4. Disconnect and reconnect the same wallet, select RWA token again
5. Switch to a different wallet address and select the same RWA token</t>
  </si>
  <si>
    <t>1. After confirm, modal closes and trade flow proceeds (RwaTokenStatus = ConsentIsSigned when country unknown)
2. localStorage entry persists across reloads
3. Reload — no consent modal for same wallet+hash
4. After reconnect — still no modal
5. Different wallet address — consent modal IS shown (consent is per-wallet)</t>
  </si>
  <si>
    <t>RW-11</t>
  </si>
  <si>
    <t>Consent — 'Cancel' dismisses modal and blocks the trade</t>
  </si>
  <si>
    <t>Consent modal displayed; no prior consent record</t>
  </si>
  <si>
    <t>1. Click 'Cancel' on the consent modal
2. Attempt to proceed with the trade</t>
  </si>
  <si>
    <t>1. Modal closes
2. No consent is written to localStorage
3. Trade flow does not proceed (status remains RequiredConsent)
4. Re-selecting the RWA token re-opens the modal</t>
  </si>
  <si>
    <t>RW-12</t>
  </si>
  <si>
    <t>Consent — consentHash change invalidates previous consent (terms update flow)</t>
  </si>
  <si>
    <t>Wallet has a valid consent for old hash stored in localStorage; CMS updates restricted token list with new RWA_CONSENT_HASH</t>
  </si>
  <si>
    <t>1. Pre-populate rwaConsentCache:v1 with an entry for {wallet}-{oldHash}
2. Deploy/simulate a new RWA_CONSENT_HASH (different IPFS hash)
3. Select an RWA token while geo is unknown
4. Confirm the new modal
5. Inspect localStorage</t>
  </si>
  <si>
    <t>1. Consent modal re-appears (old hash entry no longer matches current ipfsHash)
2. After Confirm, a new {wallet}-{newHash} entry is written
3. Old entry may remain but is unused</t>
  </si>
  <si>
    <t>Per RwaConsentKey type: { wallet, ipfsHash }. RWA_CONSENT_HASH is shared across all restricted issuers.</t>
  </si>
  <si>
    <t>RW-13</t>
  </si>
  <si>
    <t>Validation — Swap form blocks xStocks trade below $10 USD minimum</t>
  </si>
  <si>
    <t>Wallet allowed (not restricted); Swap tab; xStocks token selected as input or output; USD fiat amount computed</t>
  </si>
  <si>
    <t>1. Select e.g. AAPLx as input or output token on the Swap tab
2. Enter an amount whose USD value &lt; $10 (e.g. $5)
3. Observe the trade form button
4. Increase amount above $10 and re-observe</t>
  </si>
  <si>
    <t>1. Button shows 'Minimum trade size for xStocks tokens is $10'
2. Submit is disabled
3. After raising USD amount ≥ $10, validation clears and order can proceed</t>
  </si>
  <si>
    <t>for TWAP orders is 20 usd (10 use per part)</t>
  </si>
  <si>
    <t>RW-14</t>
  </si>
  <si>
    <t>Validation — TWAP form blocks xStocks trade below $10 per PART</t>
  </si>
  <si>
    <t>TWAP tab; xStocks token in pair; valid number of parts configured</t>
  </si>
  <si>
    <t>1. Open TWAP tab
2. Select an xStocks token as buy or sell
3. Configure parts=10 and a total USD amount such that per-part USD &lt; $10 (e.g. total $50, parts=10 → $5/part)
4. Observe primary action button
5. Reduce parts so per-part ≥ $10 and re-check</t>
  </si>
  <si>
    <t>1. Button shows 'Minimum trade size for xStocks tokens is $10 per part'
2. Submit is disabled
3. Lowering parts so per-part ≥ $10 clears the validation</t>
  </si>
  <si>
    <t>RW-15</t>
  </si>
  <si>
    <t>Min trade — Ondo tokens are NOT subject to the $10 minimum</t>
  </si>
  <si>
    <t>Swap or Limit or TWAP; Ondo token (e.g. USDY) selected; small USD amount</t>
  </si>
  <si>
    <t>1. Select USDY as input or output
2. Enter a USD amount below $10
3. Submit the order</t>
  </si>
  <si>
    <t>1. No XstockMinimumTradeSize validation triggers
2. Order can proceed (assuming other validations pass)
3. The $10 floor applies ONLY to xStocks (Backed Finance) tokens</t>
  </si>
  <si>
    <t>RW-16</t>
  </si>
  <si>
    <t>Trading hours — xStocks trades outside US market hours: no UI block, solver/quote behavior</t>
  </si>
  <si>
    <t>xStocks pair selected (e.g. AAPLx); current time outside Nasdaq/NYSE regular hours (e.g. weekend or 02:00 UTC weekday)</t>
  </si>
  <si>
    <t>1. Set system / observe real time outside US equity market hours
2. Select an xStocks token and enter ≥ $10 USD amount
3. Request a quote (Swap, Limit, TWAP)
4. Observe quote response and place-order flow</t>
  </si>
  <si>
    <t>1. The frontend does NOT have an explicit trading-hours validation
2. Behavior depends on solver/issuer (Backed): quote may return NoLiquidity / unavailable; or quote returns but settles only when market opens
3. Any returned error message is user-readable; if no quote, the standard 'No quote available' state is shown</t>
  </si>
  <si>
    <t>RW-17</t>
  </si>
  <si>
    <t>Trading hours —Ondo - weekends</t>
  </si>
  <si>
    <t xml:space="preserve">Connect to a wallet on an available location
pick an onde token to trade </t>
  </si>
  <si>
    <t>1. Specify a date and time corresponds to a Saturday and Sunday 
2. check the form</t>
  </si>
  <si>
    <t xml:space="preserve">1. Error message appears that tokens are not tradeable till Sunday 23.59
</t>
  </si>
  <si>
    <t>RW-18</t>
  </si>
  <si>
    <t>Mixed pair — only one side is RWA still triggers RWA checks</t>
  </si>
  <si>
    <t>Wallet connected; pair where exactly one token is Ondo/xStocks (e.g. WETH → AAPLx)</t>
  </si>
  <si>
    <t>1. Select WETH as sell token, AAPLx as buy token
2. Verify RWA checks apply
3. Reverse to AAPLx → USDC and verify
4. Try a fully non-RWA pair (WETH → USDC) and verify no RWA logic runs</t>
  </si>
  <si>
    <t>1. With any RWA token on either side, useAnyRestrictedToken returns the RWA token and RWA flow engages
2. Non-RWA pair: no consent / geo check
3. xStocks $10 min still applies when xStocks present on either side</t>
  </si>
  <si>
    <t>RW-19</t>
  </si>
  <si>
    <t>Token import — importing a custom RWA token triggers consent / restriction check</t>
  </si>
  <si>
    <t>User pastes a contract address of an Ondo or xStocks token not in the default-enabled lists</t>
  </si>
  <si>
    <t>1. Open token selector → Import
2. Paste address of e.g. USDY (Ondo) or AAPLx (xStocks)
3. Observe the import flow</t>
  </si>
  <si>
    <t>1. RWA token check runs (useImportTokenRwaCheck)
2. If country restricted → import is blocked / warning
3. If country unknown and no consent → consent modal shown before import completes
4. If allowed → standard import flow</t>
  </si>
  <si>
    <t>Per useImportTokenRwaCheck.ts and useImportTokenConsentFlow.tsx: import status can be 'allowed' | 'restricted' | 'requires-consent' | null.</t>
  </si>
  <si>
    <t>Account Pages Tests</t>
  </si>
  <si>
    <t>CoW Swap  |  swap.cow.fi/#/account  |  AccountOverview</t>
  </si>
  <si>
    <t>▸  SECTION 1 — Account Overview  (swap.cow.fi/#/account)</t>
  </si>
  <si>
    <t>AC-01</t>
  </si>
  <si>
    <t>Account page: accessible without wallet connected — limited state shown</t>
  </si>
  <si>
    <t>1. Navigate to swap.cow.fi/#/account without connecting a wallet
2. Observe page content and available actions</t>
  </si>
  <si>
    <t>1. Page loads and is accessible without a wallet
2. UI shows a limited/empty state</t>
  </si>
  <si>
    <t>Page is publicly accessible — wallet connection is not required to visit the page, only to see personal data.</t>
  </si>
  <si>
    <t>AC-02</t>
  </si>
  <si>
    <t>Account page: navigation tabs present (Overview, Tokens, Affiliate, My Rewards, Account Proxy)</t>
  </si>
  <si>
    <t>1. Navigate to swap.cow.fi/#/account
2. Observe navigation tabs or sidebar links
3. Verify all sections accessible: Overview, Tokens, Affiliate, My Rewards, Account Proxy</t>
  </si>
  <si>
    <t>1. All five account sections accessible from the account page
2. active section highlighted
3. navigation between sections works without page reload</t>
  </si>
  <si>
    <t>URLs: /account, /account/tokens, /account/affiliate, /account/my-rewards, /account-proxy</t>
  </si>
  <si>
    <t>AC-03</t>
  </si>
  <si>
    <t>Account overview: COW card — balance, contract actions, Buy COW link</t>
  </si>
  <si>
    <t>EOA wallet connected on a chain where COW is deployed (Ethereum Mainnet, Gnosis Chain, Arbitrum, Base); wallet holds some COW balance</t>
  </si>
  <si>
    <t>1. Connect wallet on a supported chain with COW deployed
2. Navigate to swap.cow.fi/#/account (Account overview)
3. Locate the COW card (top-left of the overview grid)
4. Verify the COW logo and the 'Available COW balance' label are shown
5. Verify the displayed balance matches the wallet's actual on-chain COW balance (compare to wallet extension or block explorer)
6. Click 'View contract ↗' and verify it opens the correct chain's block explorer for the COW token contract
7. Click 'Copy contract' (or 'Add token' depending on wallet) and verify the action behaves as expected (see notes)
8. Click 'Buy COW' and verify it opens the swap form with COW pre-selected as the buy token</t>
  </si>
  <si>
    <t>1. COW card displayed at the top-left of the Account overview grid
2. COW token logo and 'Available COW balance' label visible
3. Balance value matches the wallet's on-chain COW balance to the correct decimal precision
4. 'View contract ↗' opens the COW token contract on the correct chain explorer in a new tab
5. 'Copy contract' copies the COW contract address to clipboard with a brief confirmation
6. For MetaMask, Rabby, and Brave wallets the link reads 'Add token' instead of 'Copy contract' and triggers the wallet's 'add token' flow with the COW contract pre-filled
7. 'Buy COW' navigates to the Swap form with COW selected as the buy token; sell token defaults to the chain's native asset or a previously-selected token</t>
  </si>
  <si>
    <t>Wallet-specific link variation: MetaMask / Rabby / Brave show 'Add token' (triggers wallet add-token prompt) instead of 'Copy contract'. Verify on each wallet. Chain coverage: Ethereum, Gnosis, Arbitrum, Base (COW deployed). For chains without COW deployed see AC-06.</t>
  </si>
  <si>
    <t>AC-04</t>
  </si>
  <si>
    <t>Account overview: CoW DAO Governance card — proposals, forum, delegate links</t>
  </si>
  <si>
    <t>Wallet connected on any supported chain; Account overview page open</t>
  </si>
  <si>
    <t>1. Navigate to swap.cow.fi/#/account
2. Locate the 'CoW DAO Governance' card (top-right of the overview grid)
3. Verify the card title 'CoW DAO Governance' is shown
4. Verify the description text about using (v)COW balance to vote on proposals or participate in forum is shown
5. Click 'View proposals ↗' — verify destination opens in a new tab
6. Click 'CoW forum ↗' — verify destination opens in a new tab
7. Click 'Delegate (v)COW ↗' — verify destination opens in a new tab</t>
  </si>
  <si>
    <t>1. CoW DAO Governance card visible at top-right of Account overview grid
2. Title and description text rendered correctly with no truncation or layout breakage
3. 'View proposals ↗' opens the CoW DAO governance / Snapshot proposals page in a new tab
4. 'CoW forum ↗' opens the CoW DAO forum (forum.cow.fi) in a new tab
5. 'Delegate (v)COW ↗' opens the delegation interface in a new tab
6. No links broken (no 404); all external links open in a new tab (not in the current swap.cow.fi tab)</t>
  </si>
  <si>
    <t>External links to CoW DAO ecosystem. Verify destinations match current official CoW DAO governance, forum, and delegate URLs.</t>
  </si>
  <si>
    <t>AC-05</t>
  </si>
  <si>
    <t>Account overview: 'Too busy to vote?' card — Delegate Now CTA</t>
  </si>
  <si>
    <t>Wallet connected; Account overview page open</t>
  </si>
  <si>
    <t>1. Navigate to swap.cow.fi/#/account
2. Locate the 'Too busy to vote?' card (bottom row of the Account overview grid)
3. Verify decorative illustration is rendered
4. Verify card title 'Too busy to vote?' and subtitle 'Delegate your (v)COW' are shown
5. Click the 'Delegate Now ↗' button</t>
  </si>
  <si>
    <t>1. Card displayed with illustration, title, and subtitle correctly
2. 'Delegate Now ↗' CTA button is clickable and visually distinct (filled dark blue background)
3. Clicking 'Delegate Now ↗' opens the (v)COW delegation interface in a new tab
4. Card layout responsive on mobile (illustration and text stack appropriately at narrow widths)</t>
  </si>
  <si>
    <t>Secondary CTA for delegation — duplicates the 'Delegate (v)COW' link in the Governance card with a more visual treatment.</t>
  </si>
  <si>
    <t>AC-06</t>
  </si>
  <si>
    <t>Account overview: COW card — empty/unsupported state on chains without COW deployed</t>
  </si>
  <si>
    <t>Wallet connected on a chain where COW is NOT deployed (Avalanche, Linea, Plasma, Ink, or any other supported chain without a COW token deployment)</t>
  </si>
  <si>
    <t>1. Connect wallet on Avalanche, Linea, Plasma, or Ink chain
2. Navigate to swap.cow.fi/#/account
3. Locate the COW card in the Account overview grid
4. Observe how the card renders when COW is not available on the connected chain
5. Repeat for each of the unsupported chains (Avalanche, Linea, Plasma, Ink) and document any visual differences</t>
  </si>
  <si>
    <t>1. COW card displays an empty/unsupported state appropriate to the chain (e.g. balance shown as 0 or '—', or message indicating COW is not available on this network)
2. 'View contract' / 'Copy contract' / 'Add token' / 'Buy COW' actions either hidden, disabled, or clearly indicate COW is unavailable on this network
3. No broken images, missing labels, or layout breakage
4. No misleading actions that would attempt to interact with a non-existent COW contract
5. State is consistent across Avalanche, Linea, Plasma, and Ink</t>
  </si>
  <si>
    <t>Chain coverage: Avalanche, Linea, Plasma, Ink — COW token not deployed. Document the actual rendered state for each chain. Contrast with AC-03 which covers chains where COW IS deployed.</t>
  </si>
  <si>
    <t>Cow from locked GNO card</t>
  </si>
  <si>
    <t>COW card vesting card</t>
  </si>
  <si>
    <t>▸  SECTION 2 — Tokens Page  (swap.cow.fi/#/account/tokens)</t>
  </si>
  <si>
    <t>AC-07</t>
  </si>
  <si>
    <t>Tokens page: lists all ERC-20 token balances for connected wallet</t>
  </si>
  <si>
    <t>Wallet with multiple ERC-20 token balances</t>
  </si>
  <si>
    <t>1. Navigate to account tokens page
2. Compare listed tokens and amounts to wallet extension or block explorer</t>
  </si>
  <si>
    <t>1. All non-zero ERC-20 token balances shown
2. amounts match on-chain balances
3. USD value estimations shown alongside token amounts</t>
  </si>
  <si>
    <t>AC-08</t>
  </si>
  <si>
    <t>Tokens page: token balances update after a completed swap</t>
  </si>
  <si>
    <t>Tokens page open; wallet with known balances</t>
  </si>
  <si>
    <t>1. Note balances for sell and buy tokens
2. Execute a swap
3. Return to tokens page
4. Observe balance changes</t>
  </si>
  <si>
    <t>1. Sell token balance decreases
2. buy token balance increases
3. amounts consistent with executed swap amounts
4. page reflects on-chain state after a reasonable refresh interval</t>
  </si>
  <si>
    <t>AC-09</t>
  </si>
  <si>
    <t>Tokens page: shows allowances granted to CoW Protocol</t>
  </si>
  <si>
    <t>Wallet with at least one ERC-20 approved for CoW Protocol</t>
  </si>
  <si>
    <t>1. Navigate to tokens page
2. Locate allowance information for approved tokens
3. Verify spender is CoW Protocol VaultRelayer</t>
  </si>
  <si>
    <t xml:space="preserve">1. Token allowances shown per token
2. spender address is CoW Protocol VaultRelayer
3. allowance amount shown (unlimited or specific amount)
</t>
  </si>
  <si>
    <t>in case the token is approved (approval amount &gt; balance), the message says 'Approved', it is in green
in case a token is partially approved, then an approval amount is displayed along with the 'Approve all' button</t>
  </si>
  <si>
    <t>AC-10</t>
  </si>
  <si>
    <t>Tokens page: clicking token initiates swap with that token pre-selected</t>
  </si>
  <si>
    <t>Tokens page showing token list</t>
  </si>
  <si>
    <t>1. Click on any token in the list (or a 'Trade' button next to it)
2. Observe navigation</t>
  </si>
  <si>
    <t>1. Navigates to swap form with that token pre-selected as sell token
2. correct token and amount shown in the From field</t>
  </si>
  <si>
    <t>AC-11</t>
  </si>
  <si>
    <t>Tokens page: not connected state</t>
  </si>
  <si>
    <t>Wallet not connected</t>
  </si>
  <si>
    <t>1, Open Tokens page</t>
  </si>
  <si>
    <t>tokens are displayed according to the selected network and enabled token lists
Token balances show 0
Approve button calls the connection modal</t>
  </si>
  <si>
    <t>AC-12</t>
  </si>
  <si>
    <t>Tokens page: switch to Favorites filter/tab</t>
  </si>
  <si>
    <t>Wallet connected; Tokens page open with multiple tokens listed</t>
  </si>
  <si>
    <r>
      <rPr>
        <rFont val="Arial"/>
        <color rgb="FF000000"/>
        <sz val="9.0"/>
      </rPr>
      <t xml:space="preserve">1. Navigate to </t>
    </r>
    <r>
      <rPr>
        <rFont val="Arial"/>
        <color rgb="FF1155CC"/>
        <sz val="9.0"/>
        <u/>
      </rPr>
      <t>swap.cow.fi/#/account/tokens</t>
    </r>
    <r>
      <rPr>
        <rFont val="Arial"/>
        <color rgb="FF000000"/>
        <sz val="9.0"/>
      </rPr>
      <t xml:space="preserve"> / 
2. Locate the Favorites filter/tab on the Tokens page / 
3. Activate the Favorites filter / 
4. Observe the token list / 
5. Switch back to All tokens</t>
    </r>
  </si>
  <si>
    <t>1. Favorites filter/tab is visible and clickable on the Tokens page / 
2. Activating Favorites restricts the list to tokens marked as favorite / 
3. With no favorites, an empty-state message is shown / 
4. Switching back to All restores the full token list / 
5. UI clearly indicates which filter is active</t>
  </si>
  <si>
    <t>Favorites filter on /account/tokens; verify state persists across reloads (see AC-15)</t>
  </si>
  <si>
    <t>AC-13</t>
  </si>
  <si>
    <t>Tokens page: add a token to Favorites</t>
  </si>
  <si>
    <t>Wallet connected; Tokens page open with at least one token in the list</t>
  </si>
  <si>
    <r>
      <rPr>
        <rFont val="Arial"/>
        <color rgb="FF000000"/>
        <sz val="9.0"/>
      </rPr>
      <t xml:space="preserve">1. Open </t>
    </r>
    <r>
      <rPr>
        <rFont val="Arial"/>
        <color rgb="FF1155CC"/>
        <sz val="9.0"/>
        <u/>
      </rPr>
      <t>swap.cow.fi/#/account/tokens</t>
    </r>
    <r>
      <rPr>
        <rFont val="Arial"/>
        <color rgb="FF000000"/>
        <sz val="9.0"/>
      </rPr>
      <t xml:space="preserve"> / 
2. Locate a token row that is not yet favorited / 
3. Click the favorite/star icon for that token / 
4. Switch to the Favorites filter / 
5. Verify the token appears there</t>
    </r>
  </si>
  <si>
    <t xml:space="preserve">1. Star/favorite icon is visible per token row / 
2. Clicking the star marks the token as favorite (icon toggles to filled) / 
3. The favorited token appears under the Favorites filter / 
4. Favorite icon state is consistent between All and Favorites views / 
5. fav tokens are not mixed ap between chains
</t>
  </si>
  <si>
    <t>Matches favoritesTokensAtom in cowprotocol/cowswap; also exposed in token selector
all favorite tokens are dispplayed at the top of a token selector on swap/twap/hooks/limit orders widgets</t>
  </si>
  <si>
    <t>AC-14</t>
  </si>
  <si>
    <t>Tokens page: remove a token from Favorites</t>
  </si>
  <si>
    <t>Wallet connected; Tokens page open; at least one token already marked as favorite</t>
  </si>
  <si>
    <r>
      <rPr>
        <rFont val="Arial"/>
        <color rgb="FF000000"/>
        <sz val="9.0"/>
      </rPr>
      <t xml:space="preserve">1. Open </t>
    </r>
    <r>
      <rPr>
        <rFont val="Arial"/>
        <color rgb="FF1155CC"/>
        <sz val="9.0"/>
        <u/>
      </rPr>
      <t>swap.cow.fi/#/account/tokens</t>
    </r>
    <r>
      <rPr>
        <rFont val="Arial"/>
        <color rgb="FF000000"/>
        <sz val="9.0"/>
      </rPr>
      <t xml:space="preserve"> / 
2. Switch to the Favorites filter / 
3. Locate a favorited token / 
4. Click its favorite/star icon to unfavorite / 
5. Verify removal in both views</t>
    </r>
  </si>
  <si>
    <t>1. Token is immediately removed from the Favorites view / 
2. In the All list, the same token shows the empty star 
3. Removing the last favorite shows the empty Favorites state / 
4. Other favorited tokens are unaffected</t>
  </si>
  <si>
    <t>If remove all favorites, the fav tokens (hardcoded ones) will still be displayed in the token selector</t>
  </si>
  <si>
    <t>▸  SECTION 3 — Affiliate Dashboard  (swap.cow.fi/#/account/affiliate)</t>
  </si>
  <si>
    <t>AC-16</t>
  </si>
  <si>
    <t>Affiliate page: referral link/code generated on first visit</t>
  </si>
  <si>
    <t>Wallet connected; first time visiting affiliate page</t>
  </si>
  <si>
    <t>1. Navigate to swap.cow.fi/#/account/affiliate
2. Observe referral link generation</t>
  </si>
  <si>
    <t>0. a card to add a code is displayed where a user can generate a unique code
1. Unique referral link (and/or code) generated and tied to connected wallet address bu signing a TX on Ethreum chain
2. link is copyable
3. code cannot be changed once  TX is signed in the wallet</t>
  </si>
  <si>
    <t>On a non-Ethereum network, page shows 'Invite your friends. Earn together.' landing with explainer ('Share your referral code and earn $10 for every $250k in eligible volume within 1 days.'), a 'Switch to Ethereum' button (with Safe App' there is message to change a network in the wallet), 'See how it works' link and footer 'Affiliate payouts and registration happen on Ethereum mainnet. See Terms' 
 Clicking 'Switch to Ethereum' triggers the wallet network switch or instructs the user 
After switching to Ethereum, the dashboard (code + traffic + payout cards) is rendered</t>
  </si>
  <si>
    <t>AC-17</t>
  </si>
  <si>
    <t>Affiliate page: referral link is unique to wallet address</t>
  </si>
  <si>
    <t>Two different wallets</t>
  </si>
  <si>
    <t>1. Generate referral link with Wallet A
2. Disconnect; connect Wallet B
3. Navigate to affiliate page
4. Compare generated link</t>
  </si>
  <si>
    <t>1. Different wallet addresses produce different referral links/codes
2. links are deterministically tied to wallet address
3. cannot generate someone else's link</t>
  </si>
  <si>
    <t>AC-18</t>
  </si>
  <si>
    <t>Affiliate dashboard: shows referred volume, referred traders count, all-time earnings</t>
  </si>
  <si>
    <t>Wallet with at least one referred trader who has traded with a non-correlated token pair</t>
  </si>
  <si>
    <t>1. Open affiliate page with a wallet that has referrals
2. Check displayed metrics</t>
  </si>
  <si>
    <t>1. Dashboard shows: total referred volume (USD), number of referred traders, all-time earnings (USDC), expected rewards for next payout cycle
2. all metrics present and non-zero if activity exists</t>
  </si>
  <si>
    <t>Per docs: rewards data updates every 24 hours at 02:00 UTC — data may be delayed</t>
  </si>
  <si>
    <t>AC-19</t>
  </si>
  <si>
    <t>Affiliate dashboard: data reflects 24-hour update cycle, not real-time</t>
  </si>
  <si>
    <t>Affiliate with recent referral activity (new wallet with non-correlated tokens trade) (within last 24 hours)</t>
  </si>
  <si>
    <t>1. Refer a new trader who completes a qualifying swap
2. Immediately check affiliate dashboard
3. Check again after 02:00 UTC next day</t>
  </si>
  <si>
    <t>1. Dashboard may not reflect the very latest trade immediately
2. data updates at 02:00 UTC daily
3. UI indicates data is not real-time (disclaimer or timestamp shown)</t>
  </si>
  <si>
    <t>Per docs: 'Rewards data updates every 24 hours at 02:00 UTC. Data may be delayed and should not be considered real-time'</t>
  </si>
  <si>
    <t>AC-20</t>
  </si>
  <si>
    <t>Affiliate: referred trader must be a new wallet (never traded on CoW Swap UI)</t>
  </si>
  <si>
    <t>Referral link available; two test wallets — one fresh (never traded on CoW Swap UI), one that has traded before</t>
  </si>
  <si>
    <t>1. Share referral link with Wallet A (fresh, never traded on CoW Swap UI)
2. Wallet Ais able to link a code
4. Share same link with Wallet B (has traded on CoW Swap UI before)
5. check if a user can link a code</t>
  </si>
  <si>
    <t>1. Wallet A is able to link a code
2. Wallet B cannot link a code: the explanation message appears</t>
  </si>
  <si>
    <t>AC-21</t>
  </si>
  <si>
    <t>Affiliate: self-referral not allowed</t>
  </si>
  <si>
    <t>1. Generate referral link from Wallet A
2. Use the link to add this code on the 'My rewards" page</t>
  </si>
  <si>
    <t xml:space="preserve">1. Self-referral detected and blocked: validation mesasage appears on an attempt to add a code
</t>
  </si>
  <si>
    <t>AC-22</t>
  </si>
  <si>
    <t>Affiliate: attribution lasts up to 90 days; one trader cannot be referred by multiple affiliates</t>
  </si>
  <si>
    <t>1. Trader clicks Affiliate A's link and executes first qualifying trade
2.Check that the code is active withing 90 days
3. check that the code is expired in 90 days
4. place a trade in 91 days and check the referral volume</t>
  </si>
  <si>
    <t>1. Trader remains attributed to Affiliate A for the full 90-day window
2.the code is actiive, the dashboard reflects it
3. the code expires, a user sees an eponymous banner on the page
4. the trade placed after 90 days is not imcluded into the referrl volume</t>
  </si>
  <si>
    <t>AC-23</t>
  </si>
  <si>
    <t>Affiliate: rewards paid in USDC weekly, minimum threshold 10 USDC</t>
  </si>
  <si>
    <t>Affiliate with earned rewards</t>
  </si>
  <si>
    <t>1. Check affiliate dashboard for pending rewards amount
2. If balance &lt; 10 USDC: verify it rolls over to next week
3. If balance ≥ 10 USDC: verify payout occurs by Friday of the week
4. Check Ethereum Mainnet for on-chain payout TX</t>
  </si>
  <si>
    <t xml:space="preserve">1. Rewards &lt; 10 USDC roll over to next payout
2. rewards ≥ 10 USDC paid weekly by Friday
3. payout to fixed registered wallet address on Ethereum Mainnet
</t>
  </si>
  <si>
    <t>AC-24</t>
  </si>
  <si>
    <t>Affiliate: qualifying volume excludes correlated pairs, failed/cancelled orders</t>
  </si>
  <si>
    <t>Referred trader executes various trade types</t>
  </si>
  <si>
    <t>1. Referred trader executes: a regular swap with a non-correlated token pair, a stable-stable swap (e.g. USDC/DAI), a cancelled order, an expired order, a limit order (filled) with a non-correlated token pair , a cross-chain swap  with a non-correlated token pair in the swap part
2. Check which trades appear in affiliate volume</t>
  </si>
  <si>
    <t>1. Regular swap: counted
2. limit order (filled): counted
3. cross-chain swap: counted
4. cancelled and expired order: NOT counted
5. partially filled order: only filled portion counted
6. certain stable-stable : excluded per program rules</t>
  </si>
  <si>
    <t>AC-25</t>
  </si>
  <si>
    <t>Affiliate: program only available on supported chains (not Sepolia)</t>
  </si>
  <si>
    <t>Wallet connected; switch between chains</t>
  </si>
  <si>
    <t>1. Connect to Ethereum Mainnet → check affiliate available
2. Switch to Gnosis Chain → check affiliate available
3. Switch to Sepolia testnet → check affiliate NOT available</t>
  </si>
  <si>
    <t>1. Affiliate program available on Mainnet, Gnosis Chain, Arbitrum, Base
2. NOT available on Sepolia testnet
3. UI reflects availability per chain</t>
  </si>
  <si>
    <t>AC-26</t>
  </si>
  <si>
    <t>Affiliate: 'Your referral code' card — pick/suggest/save &amp; lock flow</t>
  </si>
  <si>
    <t>Wallet connected; Affiliate page open; user has no saved referral code yet</t>
  </si>
  <si>
    <r>
      <rPr>
        <rFont val="Arial"/>
        <color rgb="FF000000"/>
        <sz val="9.0"/>
      </rPr>
      <t xml:space="preserve">1. Open </t>
    </r>
    <r>
      <rPr>
        <rFont val="Arial"/>
        <color rgb="FF1155CC"/>
        <sz val="9.0"/>
        <u/>
      </rPr>
      <t>swap.cow.fi/#/account/affiliate</t>
    </r>
    <r>
      <rPr>
        <rFont val="Arial"/>
        <color rgb="FF000000"/>
        <sz val="9.0"/>
      </rPr>
      <t xml:space="preserve"> 
 2. Locate 'Your referral code' card 
 3. Type a custom code in the YOUR-CODE input 
4. Click 'suggest one' to generate a random code 
 5. Click 'Save &amp; lock code' 
 6. Reload page</t>
    </r>
  </si>
  <si>
    <r>
      <rPr>
        <rFont val="Arial"/>
        <color rgb="FF000000"/>
        <sz val="9.0"/>
      </rPr>
      <t>1. Card shows title 'Your referral code' and copy about picking/generating a code 
 2. Input accepts a custom value; 'suggest one' fills a generated value
 3. Helper line shows live preview link '</t>
    </r>
    <r>
      <rPr>
        <rFont val="Arial"/>
        <color rgb="FF1155CC"/>
        <sz val="9.0"/>
        <u/>
      </rPr>
      <t>https://swap.cow.fi?ref=</t>
    </r>
    <r>
      <rPr>
        <rFont val="Arial"/>
        <color rgb="FF000000"/>
        <sz val="9.0"/>
      </rPr>
      <t>' + code
4. 'Save &amp; lock code' commits the code; UI flips to Created state with the code and 'Created on &lt;date&gt;' (updated once in 24 hours at 2am) 
 5. After saving, the code/link can can be edited until a user signs the lock request in their wallet
 6. Created code persists across reload</t>
    </r>
  </si>
  <si>
    <t>AC-27</t>
  </si>
  <si>
    <t>Affiliate: 'Your referral code' card — Created state, copy code/link, Share on X, Download QR</t>
  </si>
  <si>
    <t>Wallet has an already created and locked referral code (e.g. MOO-MOO)</t>
  </si>
  <si>
    <r>
      <rPr>
        <rFont val="Arial"/>
        <color rgb="FF000000"/>
        <sz val="9.0"/>
      </rPr>
      <t xml:space="preserve">1. Open Affiliate page; observe Created state of referral code card
2. Click the copy icon next to the code 
3. Click the copy icon next to the full link </t>
    </r>
    <r>
      <rPr>
        <rFont val="Arial"/>
        <color rgb="FF1155CC"/>
        <sz val="9.0"/>
        <u/>
      </rPr>
      <t xml:space="preserve">https://swap.cow.fi?ref=
</t>
    </r>
    <r>
      <rPr>
        <rFont val="Arial"/>
        <color rgb="FF000000"/>
        <sz val="9.0"/>
      </rPr>
      <t>4. Click 'Share on X' 
5. Click 'Download QR' 
6. Inspect privacy note</t>
    </r>
  </si>
  <si>
    <t>1. Card displays the code badge, 'Created' label with a lock icon, the full referral URL and 'Created on &lt;date&gt;
 2. Code copies to clipboard with confirmation; link copies to clipboard with confirmation 
 3. 'Share on X' opens X compose in a new tab with the referral link prefilled 
 4. 'Download QR' downloads a QR image encoding the referral link
 5. Note 'Links/codes don't reveal your wallet' is visible
 6. Code/link cannot be edited</t>
  </si>
  <si>
    <t>AC-28</t>
  </si>
  <si>
    <t>Affiliate: 'Your referral traffic' stats card — metrics, progress ring, last-updated</t>
  </si>
  <si>
    <t>Wallet connected; Affiliate page open; affiliate code created with some referral activity</t>
  </si>
  <si>
    <t>1. Open Affiliate page 
 2. Locate 'Your referral traffic' card 
 3. Read each metric: Volume left to next $10, Total earned, Received, Volume referred, Total referrals, Active referrals 
 4. Hover the (?) info icon next to the card title 
5. Inspect the progress ring (e.g. $3 of $250K) 
 6. Read 'Last updated X hours ago' and hover its (?)</t>
  </si>
  <si>
    <t xml:space="preserve">1. Card titled 'Your referral traffic' is visible 
 2. All six metrics render with proper USDC formatting and dashes ('-') when no data
 3. Progress ring shows current volume referred over $250K target; inner number matches 'Volume referred' 
 4. (?) This chart tracks eligible volume left to unlock the next reward.
 5. 'Last updated' tooltip 'Updates every 24 hours'
6. Numbers match actual on-chain referral activity within the documented update window </t>
  </si>
  <si>
    <t>AC-29</t>
  </si>
  <si>
    <t xml:space="preserve">Affiliate: 'Next payout' card </t>
  </si>
  <si>
    <t>Wallet connected; Affiliate page open; also test scenario with wallet on a non-Ethereum network (e.g. Safe App on Gnosis)</t>
  </si>
  <si>
    <t xml:space="preserve">1. Open Affiliate page on Ethereum mainnet
 2. Locate the 'Next payout' card 
 3. Hover (?) tooltip next to 'Next payout' 
4. Read footer 'Paid weekly by Friday via airdrop' </t>
  </si>
  <si>
    <t xml:space="preserve">1. 'Next payout' card shows the pending USDC amount (e.g. '0 USDC') with USDC icon 
 2. Tooltip explains payout cadence and that amounts under 10 USDC roll over (see AC-23)
 3. Footer text 'Paid weekly by Friday via airdrop' is rendered / </t>
  </si>
  <si>
    <t>▸  SECTION 4 — My Rewards  (swap.cow.fi/#/account/my-rewards)</t>
  </si>
  <si>
    <t>AC-30</t>
  </si>
  <si>
    <t>My Rewards: ineligible wallet (already traded on CoW Swap)</t>
  </si>
  <si>
    <t>Wallet connected; wallet has previously executed at least one trade on CoW Swap; My Rewards tab open</t>
  </si>
  <si>
    <r>
      <rPr>
        <rFont val="Arial"/>
        <color rgb="FF000000"/>
        <sz val="9.0"/>
      </rPr>
      <t xml:space="preserve">1. Navigate to </t>
    </r>
    <r>
      <rPr>
        <rFont val="Arial"/>
        <color rgb="FF1155CC"/>
        <sz val="9.0"/>
        <u/>
      </rPr>
      <t>swap.cow.fi/#/account/my-rewards</t>
    </r>
    <r>
      <rPr>
        <rFont val="Arial"/>
        <color rgb="FF000000"/>
        <sz val="9.0"/>
      </rPr>
      <t xml:space="preserve"> 
2. Observe card content and copy 
3. Click 'This wallet has already traded on CoW Swap.' link
 4. Click 'See how it works.' link</t>
    </r>
  </si>
  <si>
    <t>1. Page header 'Rewards hub - My Rewards' is shown 
 2. Empty-state illustration plus title 'Your wallet is ineligible' rendered 
3. Body explains 'This wallet has already traded on CoW Swap.' and 'Referral rewards are for new wallets only.' 
4. 'This wallet has already traded on CoW Swap.' opens the trade history / explanation in a new tab 
 5. 'See how it works.' opens the rewards docs in a new tab
 6. No reward amounts or claim buttons are shown for ineligible wallets</t>
  </si>
  <si>
    <t>AC-31</t>
  </si>
  <si>
    <t>My Rewards: eligible new wallet — 'Earn while you trade' onboarding + referral code entry</t>
  </si>
  <si>
    <t>Fresh wallet with no prior CoW Swap trade history; My Rewards tab open</t>
  </si>
  <si>
    <t>1. Navigate to /account/my-rewards as a new wallet
 2. Inspect the onboarding card
 3. Click 'See how it works.' 
 4. Type a friend's referral code in the 'ENTER CODE' field 
5. Click 'Connect to verify code' 
 6. Test invalid, expired and self-referral codes</t>
  </si>
  <si>
    <t>1. Card shows title 'Earn while you trade' with the coin illustration
2. Copy reads 'Swap once to activate. Earn 10 USDC per $250K of eligible volume over 90 days. Rewards are paid out weekly to your Ethereum wallet.' 
 3. 'See how it works.' opens docs in new tab 
 4. 'Referral code' label with (?) tooltip is visible 
5. ENTER CODE input accepts a code; primary button label is 'Connect to verify code' (or 'Verify' if already connected) 
 6. Valid code is accepted with confirmation; invalid/expired/self-referral codes are rejected with a clear error and do not consume the activation slot</t>
  </si>
  <si>
    <t>AC-32</t>
  </si>
  <si>
    <t>My Rewards: activated wallet — progress, earned/received, next payout, 90-day window</t>
  </si>
  <si>
    <t>Eligible wallet that has activated rewards by executing the qualifying first trade on a supported network (but Sepolia) and is within the 90-day window</t>
  </si>
  <si>
    <t>1. Navigate to /account/my-rewards 
 2. Read progress stats: eligible volume traded, total earned (USDC), already received, next payout amount and date 
 3. Wait for next weekly Friday payout 
 4. Continue trading to cross a $250K eligible-volume threshold 
 5. Observe state after 90 days have elapsed</t>
  </si>
  <si>
    <t>1. Stats are populated with real values matching on-chain activity one per 24 hours
2. Progress visualization reflects eligible volume vs the $250K-per-10-USDC ratio
 3. Each $250K of eligible volume credits +10 USDC to 'Total earned'
 4. Next payout amount equals pending USDC; payouts arrive weekly via airdrop to the connected Ethereum wallet
 5. After 90 days, the program reflects ended state and no further activation rewards accrue 
 6. UI matches the same source of truth as Affiliate 'Your referral traffic' for the same wallet where relevant</t>
  </si>
  <si>
    <t>on dev environment thresholds are
  - 10 use volume 
 - 0.66 USD reward
so no need to collect trades on 250k</t>
  </si>
  <si>
    <t>AC-33</t>
  </si>
  <si>
    <t>My Rewards: navigation, wallet not connected, and network switch behavior</t>
  </si>
  <si>
    <t>1. Open /account/my-rewards without a wallet connected 
 2. Connect a wallet on Ethereum mainnet 
 3. Switch to Gnosis Chain, Arbitrum, Base, Avalanche, Linea, Plasma, Ink, 
4. switch to sepolia or to an unsupported chain
 5. Use sidebar to navigate between Overview, Affiliate, My Rewards, Tokens, Account Proxy 
6. Disconnect wallet while on My Rewards</t>
  </si>
  <si>
    <t>1. Without a connected wallet, page loads with limited/empty state and a 'Connect wallet' CTA 
 2. After connecting, My Rewards is highlighted in the sidebar and the correct state (ineligible / eligible / activated) is rendered
 3. stats is displayed on cards or add a code it not added yet
 4. 'unsupported networks' state is displayed
5. Sidebar navigation switches sections without page reload and updates the URL 
 5. Disconnecting wallet returns to the connect to a wallet card</t>
  </si>
  <si>
    <t>▸  SECTION 5 — Account Proxy / CoW Shed  (swap.cow.fi/#/account-proxy)</t>
  </si>
  <si>
    <t>AC-34</t>
  </si>
  <si>
    <t>Account Proxy page: accessible and shows proxy contract info</t>
  </si>
  <si>
    <t>Wallet connected; Account Proxy page opened</t>
  </si>
  <si>
    <t>1. Navigate to swap.cow.fi/#/account-proxy
2. Or open via /account-proxy/help link
3. Observe content: proxy versions listed</t>
  </si>
  <si>
    <t>1. Account Proxy page loads
2. list of proxy versions shown
3. latest version highlighted or indicated
4. proxy address per version visible
5. page explains purpose (helper contract for CoW Hooks and cross-chain swaps)</t>
  </si>
  <si>
    <t>Account Proxy also known as CoW Shed. Per docs: 'helper contract that powers advanced features like CoW Hooks'</t>
  </si>
  <si>
    <t>AC-35</t>
  </si>
  <si>
    <t>Account Proxy: funds stranded in proxy after bridge failure are visible</t>
  </si>
  <si>
    <t>A cross-chain swap where bridge step failed; funds refunded to Account Proxy by bridge provider</t>
  </si>
  <si>
    <t>1. Top up the proxy account
2. Navigate to account proxy page
3. Locate the affected proxy version
4. Expand proxy version details
5. Check token balances shown in proxy</t>
  </si>
  <si>
    <t>1. Stranded token(s) shown in the proxy version details
2. token name, amount, and USD value displayed
3. 'Recover funds' action available for each token</t>
  </si>
  <si>
    <t>Per docs: 'Most bridge providers automatically send funds back to Account Proxy once deposit expires. Across: ~3 hours'</t>
  </si>
  <si>
    <t>AC-36</t>
  </si>
  <si>
    <t>Account Proxy: multiple proxy versions shown — latest indicated</t>
  </si>
  <si>
    <t>Wallet with activity across multiple Account Proxy versions</t>
  </si>
  <si>
    <t>1. Open account proxy page
2. Check list of proxy versions
3. Verify latest version is clearly marked</t>
  </si>
  <si>
    <t>1. All proxy versions listed
2. latest version prominently indicated or pre-selected
3. user guided to use latest version for recovery unless instructed otherwise
4. version addresses distinguishable</t>
  </si>
  <si>
    <t>Per docs: 'select the latest Account Proxy version (unless you've been told to use a different one)'</t>
  </si>
</sst>
</file>

<file path=xl/styles.xml><?xml version="1.0" encoding="utf-8"?>
<styleSheet xmlns="http://schemas.openxmlformats.org/spreadsheetml/2006/main" xmlns:x14ac="http://schemas.microsoft.com/office/spreadsheetml/2009/9/ac" xmlns:mc="http://schemas.openxmlformats.org/markup-compatibility/2006">
  <fonts count="32">
    <font>
      <sz val="11.0"/>
      <color theme="1"/>
      <name val="Calibri"/>
      <scheme val="minor"/>
    </font>
    <font>
      <sz val="11.0"/>
      <color theme="1"/>
      <name val="Calibri"/>
    </font>
    <font>
      <b/>
      <sz val="22.0"/>
      <color rgb="FFFFFFFF"/>
      <name val="Arial"/>
    </font>
    <font/>
    <font>
      <i/>
      <sz val="10.0"/>
      <color rgb="FFBBBBBB"/>
      <name val="Arial"/>
    </font>
    <font>
      <b/>
      <sz val="11.0"/>
      <color rgb="FFFFFFFF"/>
      <name val="Arial"/>
    </font>
    <font>
      <b/>
      <sz val="10.0"/>
      <color rgb="FF404040"/>
      <name val="Arial"/>
    </font>
    <font>
      <sz val="10.0"/>
      <color rgb="FF404040"/>
      <name val="Arial"/>
    </font>
    <font>
      <sz val="10.0"/>
      <color rgb="FF000000"/>
      <name val="Arial"/>
    </font>
    <font>
      <b/>
      <sz val="10.0"/>
      <color rgb="FF000000"/>
      <name val="Arial"/>
    </font>
    <font>
      <sz val="10.0"/>
      <color theme="1"/>
      <name val="Arial"/>
    </font>
    <font>
      <b/>
      <sz val="10.0"/>
      <color rgb="FFFFFFFF"/>
      <name val="Arial"/>
    </font>
    <font>
      <b/>
      <sz val="9.0"/>
      <color rgb="FFFFFFFF"/>
      <name val="Arial"/>
    </font>
    <font>
      <b/>
      <sz val="10.0"/>
      <color rgb="FF375623"/>
      <name val="Arial"/>
    </font>
    <font>
      <b/>
      <sz val="10.0"/>
      <color rgb="FF9C0006"/>
      <name val="Arial"/>
    </font>
    <font>
      <b/>
      <sz val="10.0"/>
      <color rgb="FF9C6500"/>
      <name val="Arial"/>
    </font>
    <font>
      <b/>
      <sz val="10.0"/>
      <color rgb="FF808080"/>
      <name val="Arial"/>
    </font>
    <font>
      <b/>
      <sz val="14.0"/>
      <color rgb="FFFFFFFF"/>
      <name val="Arial"/>
    </font>
    <font>
      <i/>
      <sz val="9.0"/>
      <color rgb="FFAAAAAA"/>
      <name val="Arial"/>
    </font>
    <font>
      <b/>
      <sz val="9.0"/>
      <color rgb="FF4472C4"/>
      <name val="Arial"/>
    </font>
    <font>
      <sz val="9.0"/>
      <color rgb="FF000000"/>
      <name val="Arial"/>
    </font>
    <font>
      <b/>
      <sz val="9.0"/>
      <color rgb="FF9C0006"/>
      <name val="Arial"/>
    </font>
    <font>
      <b/>
      <sz val="9.0"/>
      <color rgb="FF9C6500"/>
      <name val="Arial"/>
    </font>
    <font>
      <b/>
      <sz val="9.0"/>
      <color rgb="FF375623"/>
      <name val="Arial"/>
    </font>
    <font>
      <sz val="9.0"/>
      <color theme="1"/>
      <name val="Arial"/>
    </font>
    <font>
      <u/>
      <sz val="9.0"/>
      <color rgb="FF000000"/>
      <name val="Arial"/>
    </font>
    <font>
      <i/>
      <u/>
      <sz val="9.0"/>
      <color rgb="FFAAAAAA"/>
      <name val="Arial"/>
    </font>
    <font>
      <sz val="9.0"/>
      <color rgb="FF3D3D3A"/>
      <name val="&quot;Anthropic Sans&quot;"/>
    </font>
    <font>
      <sz val="11.0"/>
      <color rgb="FF141413"/>
      <name val="&quot;Anthropic Sans&quot;"/>
    </font>
    <font>
      <b/>
      <sz val="10.0"/>
      <color rgb="FF4472C4"/>
      <name val="Arial"/>
    </font>
    <font>
      <color theme="1"/>
      <name val="Calibri"/>
    </font>
    <font>
      <u/>
      <sz val="9.0"/>
      <color rgb="FF000000"/>
      <name val="Arial"/>
    </font>
  </fonts>
  <fills count="14">
    <fill>
      <patternFill patternType="none"/>
    </fill>
    <fill>
      <patternFill patternType="lightGray"/>
    </fill>
    <fill>
      <patternFill patternType="solid">
        <fgColor rgb="FF1E5799"/>
        <bgColor rgb="FF1E5799"/>
      </patternFill>
    </fill>
    <fill>
      <patternFill patternType="solid">
        <fgColor rgb="FF404040"/>
        <bgColor rgb="FF404040"/>
      </patternFill>
    </fill>
    <fill>
      <patternFill patternType="solid">
        <fgColor rgb="FF4472C4"/>
        <bgColor rgb="FF4472C4"/>
      </patternFill>
    </fill>
    <fill>
      <patternFill patternType="solid">
        <fgColor rgb="FFD0E4F7"/>
        <bgColor rgb="FFD0E4F7"/>
      </patternFill>
    </fill>
    <fill>
      <patternFill patternType="solid">
        <fgColor rgb="FFFFFFFF"/>
        <bgColor rgb="FFFFFFFF"/>
      </patternFill>
    </fill>
    <fill>
      <patternFill patternType="solid">
        <fgColor rgb="FFF5F5F5"/>
        <bgColor rgb="FFF5F5F5"/>
      </patternFill>
    </fill>
    <fill>
      <patternFill patternType="solid">
        <fgColor rgb="FFE2EFDA"/>
        <bgColor rgb="FFE2EFDA"/>
      </patternFill>
    </fill>
    <fill>
      <patternFill patternType="solid">
        <fgColor rgb="FFFFC7CE"/>
        <bgColor rgb="FFFFC7CE"/>
      </patternFill>
    </fill>
    <fill>
      <patternFill patternType="solid">
        <fgColor rgb="FFFFEB9C"/>
        <bgColor rgb="FFFFEB9C"/>
      </patternFill>
    </fill>
    <fill>
      <patternFill patternType="solid">
        <fgColor rgb="FFFCE4D6"/>
        <bgColor rgb="FFFCE4D6"/>
      </patternFill>
    </fill>
    <fill>
      <patternFill patternType="solid">
        <fgColor rgb="FFF0EEE6"/>
        <bgColor rgb="FFF0EEE6"/>
      </patternFill>
    </fill>
    <fill>
      <patternFill patternType="solid">
        <fgColor rgb="FFEBF3FB"/>
        <bgColor rgb="FFEBF3FB"/>
      </patternFill>
    </fill>
  </fills>
  <borders count="12">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medium">
        <color rgb="FF4472C4"/>
      </left>
      <top style="medium">
        <color rgb="FF4472C4"/>
      </top>
      <bottom style="thin">
        <color rgb="FF4472C4"/>
      </bottom>
    </border>
    <border>
      <top style="medium">
        <color rgb="FF4472C4"/>
      </top>
      <bottom style="thin">
        <color rgb="FF4472C4"/>
      </bottom>
    </border>
    <border>
      <right style="medium">
        <color rgb="FF4472C4"/>
      </right>
      <top style="medium">
        <color rgb="FF4472C4"/>
      </top>
      <bottom style="thin">
        <color rgb="FF4472C4"/>
      </bottom>
    </border>
    <border>
      <left style="medium">
        <color rgb="FF4472C4"/>
      </left>
      <right style="medium">
        <color rgb="FF4472C4"/>
      </right>
      <top style="medium">
        <color rgb="FF4472C4"/>
      </top>
      <bottom style="thin">
        <color rgb="FF4472C4"/>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vertical="center"/>
    </xf>
    <xf borderId="2" fillId="0" fontId="3" numFmtId="0" xfId="0" applyBorder="1" applyFont="1"/>
    <xf borderId="3" fillId="0" fontId="3" numFmtId="0" xfId="0" applyBorder="1" applyFont="1"/>
    <xf borderId="0" fillId="0" fontId="1" numFmtId="0" xfId="0" applyFont="1"/>
    <xf borderId="1" fillId="3" fontId="4" numFmtId="0" xfId="0" applyAlignment="1" applyBorder="1" applyFill="1" applyFont="1">
      <alignment horizontal="center" vertical="center"/>
    </xf>
    <xf borderId="1" fillId="4" fontId="5" numFmtId="0" xfId="0" applyAlignment="1" applyBorder="1" applyFill="1" applyFont="1">
      <alignment horizontal="center" vertical="center"/>
    </xf>
    <xf borderId="4" fillId="5" fontId="6" numFmtId="0" xfId="0" applyAlignment="1" applyBorder="1" applyFill="1" applyFont="1">
      <alignment horizontal="center" vertical="center"/>
    </xf>
    <xf borderId="4" fillId="6" fontId="7" numFmtId="0" xfId="0" applyAlignment="1" applyBorder="1" applyFill="1" applyFont="1">
      <alignment horizontal="left" vertical="center"/>
    </xf>
    <xf borderId="4" fillId="6" fontId="8" numFmtId="0" xfId="0" applyAlignment="1" applyBorder="1" applyFont="1">
      <alignment horizontal="center" vertical="center"/>
    </xf>
    <xf borderId="4" fillId="6" fontId="9" numFmtId="9" xfId="0" applyAlignment="1" applyBorder="1" applyFont="1" applyNumberFormat="1">
      <alignment horizontal="center" vertical="center"/>
    </xf>
    <xf borderId="4" fillId="7" fontId="8" numFmtId="0" xfId="0" applyAlignment="1" applyBorder="1" applyFill="1" applyFont="1">
      <alignment horizontal="left" vertical="center"/>
    </xf>
    <xf borderId="4" fillId="7" fontId="8" numFmtId="0" xfId="0" applyAlignment="1" applyBorder="1" applyFont="1">
      <alignment horizontal="center" vertical="center"/>
    </xf>
    <xf borderId="4" fillId="7" fontId="8" numFmtId="9" xfId="0" applyAlignment="1" applyBorder="1" applyFont="1" applyNumberFormat="1">
      <alignment horizontal="center" vertical="center"/>
    </xf>
    <xf borderId="4" fillId="6" fontId="10" numFmtId="0" xfId="0" applyAlignment="1" applyBorder="1" applyFont="1">
      <alignment horizontal="left" vertical="center"/>
    </xf>
    <xf borderId="4" fillId="6" fontId="10" numFmtId="0" xfId="0" applyAlignment="1" applyBorder="1" applyFont="1">
      <alignment horizontal="center" vertical="center"/>
    </xf>
    <xf borderId="4" fillId="6" fontId="10" numFmtId="9" xfId="0" applyAlignment="1" applyBorder="1" applyFont="1" applyNumberFormat="1">
      <alignment horizontal="center" vertical="center"/>
    </xf>
    <xf borderId="4" fillId="7" fontId="7" numFmtId="0" xfId="0" applyAlignment="1" applyBorder="1" applyFont="1">
      <alignment horizontal="left" vertical="center"/>
    </xf>
    <xf borderId="4" fillId="7" fontId="9" numFmtId="9" xfId="0" applyAlignment="1" applyBorder="1" applyFont="1" applyNumberFormat="1">
      <alignment horizontal="center" vertical="center"/>
    </xf>
    <xf borderId="4" fillId="6" fontId="8" numFmtId="0" xfId="0" applyAlignment="1" applyBorder="1" applyFont="1">
      <alignment horizontal="center" readingOrder="0" vertical="center"/>
    </xf>
    <xf borderId="4" fillId="7" fontId="8" numFmtId="0" xfId="0" applyAlignment="1" applyBorder="1" applyFont="1">
      <alignment horizontal="center" readingOrder="0" vertical="center"/>
    </xf>
    <xf borderId="4" fillId="6" fontId="8" numFmtId="0" xfId="0" applyAlignment="1" applyBorder="1" applyFont="1">
      <alignment horizontal="left" vertical="center"/>
    </xf>
    <xf borderId="4" fillId="3" fontId="11" numFmtId="0" xfId="0" applyAlignment="1" applyBorder="1" applyFont="1">
      <alignment horizontal="left" vertical="center"/>
    </xf>
    <xf borderId="4" fillId="3" fontId="11" numFmtId="0" xfId="0" applyAlignment="1" applyBorder="1" applyFont="1">
      <alignment horizontal="center" vertical="center"/>
    </xf>
    <xf borderId="4" fillId="3" fontId="11" numFmtId="9" xfId="0" applyAlignment="1" applyBorder="1" applyFont="1" applyNumberFormat="1">
      <alignment horizontal="center" vertical="center"/>
    </xf>
    <xf borderId="1" fillId="4" fontId="12" numFmtId="0" xfId="0" applyAlignment="1" applyBorder="1" applyFont="1">
      <alignment horizontal="center" vertical="center"/>
    </xf>
    <xf borderId="5" fillId="8" fontId="13" numFmtId="0" xfId="0" applyAlignment="1" applyBorder="1" applyFill="1" applyFont="1">
      <alignment horizontal="left" vertical="center"/>
    </xf>
    <xf borderId="6" fillId="0" fontId="3" numFmtId="0" xfId="0" applyBorder="1" applyFont="1"/>
    <xf borderId="7" fillId="0" fontId="3" numFmtId="0" xfId="0" applyBorder="1" applyFont="1"/>
    <xf borderId="4" fillId="9" fontId="14" numFmtId="0" xfId="0" applyAlignment="1" applyBorder="1" applyFill="1" applyFont="1">
      <alignment horizontal="left" vertical="center"/>
    </xf>
    <xf borderId="6" fillId="0" fontId="1" numFmtId="0" xfId="0" applyBorder="1" applyFont="1"/>
    <xf borderId="7" fillId="0" fontId="1" numFmtId="0" xfId="0" applyBorder="1" applyFont="1"/>
    <xf borderId="4" fillId="10" fontId="15" numFmtId="0" xfId="0" applyAlignment="1" applyBorder="1" applyFill="1" applyFont="1">
      <alignment horizontal="left" vertical="center"/>
    </xf>
    <xf borderId="4" fillId="7" fontId="16" numFmtId="0" xfId="0" applyAlignment="1" applyBorder="1" applyFont="1">
      <alignment horizontal="left" vertical="center"/>
    </xf>
    <xf borderId="1" fillId="2" fontId="17" numFmtId="0" xfId="0" applyAlignment="1" applyBorder="1" applyFont="1">
      <alignment horizontal="center" vertical="center"/>
    </xf>
    <xf borderId="1" fillId="3" fontId="18" numFmtId="0" xfId="0" applyAlignment="1" applyBorder="1" applyFont="1">
      <alignment horizontal="center" vertical="center"/>
    </xf>
    <xf borderId="4" fillId="4" fontId="11" numFmtId="0" xfId="0" applyAlignment="1" applyBorder="1" applyFont="1">
      <alignment horizontal="center" shrinkToFit="0" vertical="center" wrapText="1"/>
    </xf>
    <xf borderId="4" fillId="6" fontId="19" numFmtId="0" xfId="0" applyAlignment="1" applyBorder="1" applyFont="1">
      <alignment horizontal="center" vertical="center"/>
    </xf>
    <xf borderId="4" fillId="6" fontId="20" numFmtId="0" xfId="0" applyAlignment="1" applyBorder="1" applyFont="1">
      <alignment horizontal="left" shrinkToFit="0" vertical="top" wrapText="1"/>
    </xf>
    <xf borderId="4" fillId="11" fontId="21" numFmtId="0" xfId="0" applyAlignment="1" applyBorder="1" applyFill="1" applyFont="1">
      <alignment horizontal="center" vertical="center"/>
    </xf>
    <xf borderId="4" fillId="6" fontId="20" numFmtId="0" xfId="0" applyAlignment="1" applyBorder="1" applyFont="1">
      <alignment horizontal="center" vertical="center"/>
    </xf>
    <xf borderId="4" fillId="7" fontId="19" numFmtId="0" xfId="0" applyAlignment="1" applyBorder="1" applyFont="1">
      <alignment horizontal="center" vertical="center"/>
    </xf>
    <xf borderId="4" fillId="7" fontId="20" numFmtId="0" xfId="0" applyAlignment="1" applyBorder="1" applyFont="1">
      <alignment horizontal="left" shrinkToFit="0" vertical="top" wrapText="1"/>
    </xf>
    <xf borderId="4" fillId="7" fontId="20" numFmtId="0" xfId="0" applyAlignment="1" applyBorder="1" applyFont="1">
      <alignment horizontal="center" vertical="center"/>
    </xf>
    <xf borderId="4" fillId="10" fontId="22" numFmtId="0" xfId="0" applyAlignment="1" applyBorder="1" applyFont="1">
      <alignment horizontal="center" vertical="center"/>
    </xf>
    <xf borderId="4" fillId="8" fontId="23" numFmtId="0" xfId="0" applyAlignment="1" applyBorder="1" applyFont="1">
      <alignment horizontal="center" vertical="center"/>
    </xf>
    <xf borderId="4" fillId="11" fontId="20" numFmtId="0" xfId="0" applyAlignment="1" applyBorder="1" applyFont="1">
      <alignment horizontal="center" vertical="center"/>
    </xf>
    <xf borderId="0" fillId="0" fontId="1" numFmtId="0" xfId="0" applyAlignment="1" applyFont="1">
      <alignment horizontal="left" shrinkToFit="0" vertical="top" wrapText="1"/>
    </xf>
    <xf borderId="4" fillId="10" fontId="20" numFmtId="0" xfId="0" applyAlignment="1" applyBorder="1" applyFont="1">
      <alignment horizontal="center" vertical="center"/>
    </xf>
    <xf borderId="4" fillId="6" fontId="24" numFmtId="0" xfId="0" applyAlignment="1" applyBorder="1" applyFont="1">
      <alignment horizontal="left" shrinkToFit="0" vertical="top" wrapText="1"/>
    </xf>
    <xf borderId="4" fillId="7" fontId="24" numFmtId="0" xfId="0" applyAlignment="1" applyBorder="1" applyFont="1">
      <alignment horizontal="left" shrinkToFit="0" vertical="top" wrapText="1"/>
    </xf>
    <xf borderId="4" fillId="7" fontId="20" numFmtId="0" xfId="0" applyAlignment="1" applyBorder="1" applyFont="1">
      <alignment horizontal="left" readingOrder="0" shrinkToFit="0" vertical="top" wrapText="1"/>
    </xf>
    <xf borderId="4" fillId="6" fontId="20" numFmtId="0" xfId="0" applyAlignment="1" applyBorder="1" applyFont="1">
      <alignment horizontal="left" readingOrder="0" shrinkToFit="0" vertical="top" wrapText="1"/>
    </xf>
    <xf borderId="1" fillId="2" fontId="17" numFmtId="0" xfId="0" applyAlignment="1" applyBorder="1" applyFont="1">
      <alignment horizontal="center" readingOrder="0" vertical="center"/>
    </xf>
    <xf borderId="1" fillId="3" fontId="18" numFmtId="0" xfId="0" applyAlignment="1" applyBorder="1" applyFont="1">
      <alignment horizontal="center" readingOrder="0" vertical="center"/>
    </xf>
    <xf borderId="4" fillId="6" fontId="20" numFmtId="0" xfId="0" applyAlignment="1" applyBorder="1" applyFont="1">
      <alignment horizontal="center" readingOrder="0" vertical="center"/>
    </xf>
    <xf borderId="4" fillId="7" fontId="20" numFmtId="0" xfId="0" applyAlignment="1" applyBorder="1" applyFont="1">
      <alignment horizontal="center" readingOrder="0" vertical="center"/>
    </xf>
    <xf borderId="4" fillId="7" fontId="19" numFmtId="0" xfId="0" applyAlignment="1" applyBorder="1" applyFont="1">
      <alignment horizontal="center" readingOrder="0" vertical="center"/>
    </xf>
    <xf borderId="4" fillId="7" fontId="19" numFmtId="0" xfId="0" applyAlignment="1" applyBorder="1" applyFont="1">
      <alignment horizontal="center" readingOrder="0" shrinkToFit="0" vertical="center" wrapText="1"/>
    </xf>
    <xf borderId="4" fillId="11" fontId="21" numFmtId="0" xfId="0" applyAlignment="1" applyBorder="1" applyFont="1">
      <alignment horizontal="center" readingOrder="0" shrinkToFit="0" vertical="center" wrapText="1"/>
    </xf>
    <xf borderId="4" fillId="7" fontId="20" numFmtId="0" xfId="0" applyAlignment="1" applyBorder="1" applyFont="1">
      <alignment horizontal="center" readingOrder="0" shrinkToFit="0" vertical="center" wrapText="1"/>
    </xf>
    <xf borderId="4" fillId="7" fontId="25" numFmtId="0" xfId="0" applyAlignment="1" applyBorder="1" applyFont="1">
      <alignment horizontal="left" readingOrder="0" shrinkToFit="0" vertical="top" wrapText="1"/>
    </xf>
    <xf borderId="0" fillId="0" fontId="1" numFmtId="0" xfId="0" applyAlignment="1" applyFont="1">
      <alignment readingOrder="0" shrinkToFit="0" wrapText="1"/>
    </xf>
    <xf borderId="4" fillId="11" fontId="24" numFmtId="0" xfId="0" applyAlignment="1" applyBorder="1" applyFont="1">
      <alignment horizontal="center" vertical="center"/>
    </xf>
    <xf borderId="4" fillId="7" fontId="24" numFmtId="0" xfId="0" applyAlignment="1" applyBorder="1" applyFont="1">
      <alignment horizontal="center" vertical="center"/>
    </xf>
    <xf borderId="4" fillId="7" fontId="24" numFmtId="0" xfId="0" applyAlignment="1" applyBorder="1" applyFont="1">
      <alignment horizontal="left" readingOrder="0" shrinkToFit="0" vertical="top" wrapText="1"/>
    </xf>
    <xf borderId="4" fillId="10" fontId="24" numFmtId="0" xfId="0" applyAlignment="1" applyBorder="1" applyFont="1">
      <alignment horizontal="center" vertical="center"/>
    </xf>
    <xf borderId="4" fillId="6" fontId="24" numFmtId="0" xfId="0" applyAlignment="1" applyBorder="1" applyFont="1">
      <alignment horizontal="center" vertical="center"/>
    </xf>
    <xf borderId="4" fillId="6" fontId="24" numFmtId="0" xfId="0" applyAlignment="1" applyBorder="1" applyFont="1">
      <alignment horizontal="left" readingOrder="0" shrinkToFit="0" vertical="top" wrapText="1"/>
    </xf>
    <xf borderId="1" fillId="3" fontId="26" numFmtId="0" xfId="0" applyAlignment="1" applyBorder="1" applyFont="1">
      <alignment horizontal="center" readingOrder="0" vertical="center"/>
    </xf>
    <xf borderId="0" fillId="12" fontId="27" numFmtId="0" xfId="0" applyAlignment="1" applyFill="1" applyFont="1">
      <alignment readingOrder="0"/>
    </xf>
    <xf borderId="4" fillId="11" fontId="21" numFmtId="0" xfId="0" applyAlignment="1" applyBorder="1" applyFont="1">
      <alignment horizontal="center" readingOrder="0" vertical="center"/>
    </xf>
    <xf borderId="0" fillId="6" fontId="28" numFmtId="0" xfId="0" applyAlignment="1" applyFont="1">
      <alignment readingOrder="0" shrinkToFit="0" wrapText="1"/>
    </xf>
    <xf borderId="4" fillId="10" fontId="22" numFmtId="0" xfId="0" applyAlignment="1" applyBorder="1" applyFont="1">
      <alignment horizontal="center" readingOrder="0" vertical="center"/>
    </xf>
    <xf borderId="4" fillId="6" fontId="19" numFmtId="0" xfId="0" applyAlignment="1" applyBorder="1" applyFont="1">
      <alignment horizontal="center" readingOrder="0" vertical="center"/>
    </xf>
    <xf borderId="8" fillId="13" fontId="29" numFmtId="0" xfId="0" applyAlignment="1" applyBorder="1" applyFill="1" applyFont="1">
      <alignment horizontal="left" vertical="center"/>
    </xf>
    <xf borderId="9" fillId="0" fontId="3" numFmtId="0" xfId="0" applyBorder="1" applyFont="1"/>
    <xf borderId="10" fillId="0" fontId="3" numFmtId="0" xfId="0" applyBorder="1" applyFont="1"/>
    <xf borderId="0" fillId="0" fontId="1" numFmtId="0" xfId="0" applyAlignment="1" applyFont="1">
      <alignment horizontal="left" readingOrder="0" shrinkToFit="0" vertical="top" wrapText="1"/>
    </xf>
    <xf borderId="0" fillId="0" fontId="30" numFmtId="0" xfId="0" applyFont="1"/>
    <xf borderId="4" fillId="6" fontId="31" numFmtId="0" xfId="0" applyAlignment="1" applyBorder="1" applyFont="1">
      <alignment horizontal="left" readingOrder="0" shrinkToFit="0" vertical="top" wrapText="1"/>
    </xf>
    <xf borderId="11" fillId="13" fontId="29" numFmtId="0" xfId="0" applyAlignment="1" applyBorder="1" applyFont="1">
      <alignment horizontal="left" vertical="center"/>
    </xf>
    <xf borderId="9" fillId="0" fontId="1" numFmtId="0" xfId="0" applyAlignment="1" applyBorder="1" applyFont="1">
      <alignment horizontal="left" shrinkToFit="0" vertical="top" wrapText="1"/>
    </xf>
    <xf borderId="9" fillId="0" fontId="1" numFmtId="0" xfId="0" applyBorder="1" applyFont="1"/>
    <xf borderId="10" fillId="0" fontId="1" numFmtId="0" xfId="0" applyAlignment="1" applyBorder="1" applyFont="1">
      <alignment horizontal="left" shrinkToFit="0" vertical="top" wrapText="1"/>
    </xf>
  </cellXfs>
  <cellStyles count="1">
    <cellStyle xfId="0" name="Normal" builtinId="0"/>
  </cellStyles>
  <dxfs count="3">
    <dxf>
      <font>
        <b/>
        <sz val="9.0"/>
        <color rgb="FF9C6500"/>
        <name val="Arial"/>
      </font>
      <fill>
        <patternFill patternType="solid">
          <fgColor rgb="FFFFEB9C"/>
          <bgColor rgb="FFFFEB9C"/>
        </patternFill>
      </fill>
      <border/>
    </dxf>
    <dxf>
      <font>
        <b/>
        <sz val="9.0"/>
        <color rgb="FF9C0006"/>
        <name val="Arial"/>
      </font>
      <fill>
        <patternFill patternType="solid">
          <fgColor rgb="FFFFC7CE"/>
          <bgColor rgb="FFFFC7CE"/>
        </patternFill>
      </fill>
      <border/>
    </dxf>
    <dxf>
      <font>
        <b/>
        <sz val="9.0"/>
        <color rgb="FF375623"/>
        <name val="Arial"/>
      </font>
      <fill>
        <patternFill patternType="solid">
          <fgColor rgb="FFE2EFDA"/>
          <bgColor rgb="FFE2EFDA"/>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ap.cow.fi/"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ap.cow.fi/"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ap.cow.fi/" TargetMode="External"/><Relationship Id="rId2" Type="http://schemas.openxmlformats.org/officeDocument/2006/relationships/hyperlink" Target="http://swap.cow.fi/" TargetMode="External"/><Relationship Id="rId3" Type="http://schemas.openxmlformats.org/officeDocument/2006/relationships/hyperlink" Target="http://swap.cow.fi/" TargetMode="External"/><Relationship Id="rId4" Type="http://schemas.openxmlformats.org/officeDocument/2006/relationships/hyperlink" Target="http://swap.cow.fi/" TargetMode="External"/><Relationship Id="rId5" Type="http://schemas.openxmlformats.org/officeDocument/2006/relationships/hyperlink" Target="https://swap.cow.fi/?ref=" TargetMode="External"/><Relationship Id="rId6" Type="http://schemas.openxmlformats.org/officeDocument/2006/relationships/hyperlink" Target="https://swap.cow.fi/?ref=MOO-MOO" TargetMode="External"/><Relationship Id="rId7" Type="http://schemas.openxmlformats.org/officeDocument/2006/relationships/hyperlink" Target="http://swap.cow.fi/" TargetMode="External"/><Relationship Id="rId8"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8.0"/>
    <col customWidth="1" min="3" max="7" width="14.0"/>
  </cols>
  <sheetData>
    <row r="1" ht="39.75" customHeight="1">
      <c r="A1" s="1" t="s">
        <v>0</v>
      </c>
      <c r="B1" s="2" t="s">
        <v>1</v>
      </c>
      <c r="C1" s="3"/>
      <c r="D1" s="3"/>
      <c r="E1" s="3"/>
      <c r="F1" s="3"/>
      <c r="G1" s="4"/>
      <c r="H1" s="5"/>
      <c r="I1" s="5"/>
      <c r="J1" s="5"/>
      <c r="K1" s="5"/>
      <c r="L1" s="5"/>
      <c r="M1" s="5"/>
      <c r="N1" s="5"/>
      <c r="O1" s="5"/>
      <c r="P1" s="5"/>
      <c r="Q1" s="5"/>
      <c r="R1" s="5"/>
      <c r="S1" s="5"/>
      <c r="T1" s="5"/>
      <c r="U1" s="5"/>
      <c r="V1" s="5"/>
      <c r="W1" s="5"/>
      <c r="X1" s="5"/>
      <c r="Y1" s="5"/>
      <c r="Z1" s="5"/>
    </row>
    <row r="2" ht="19.5" customHeight="1">
      <c r="A2" s="5"/>
      <c r="B2" s="6" t="s">
        <v>2</v>
      </c>
      <c r="C2" s="3"/>
      <c r="D2" s="3"/>
      <c r="E2" s="3"/>
      <c r="F2" s="3"/>
      <c r="G2" s="4"/>
      <c r="H2" s="5"/>
      <c r="I2" s="5"/>
      <c r="J2" s="5"/>
      <c r="K2" s="5"/>
      <c r="L2" s="5"/>
      <c r="M2" s="5"/>
      <c r="N2" s="5"/>
      <c r="O2" s="5"/>
      <c r="P2" s="5"/>
      <c r="Q2" s="5"/>
      <c r="R2" s="5"/>
      <c r="S2" s="5"/>
      <c r="T2" s="5"/>
      <c r="U2" s="5"/>
      <c r="V2" s="5"/>
      <c r="W2" s="5"/>
      <c r="X2" s="5"/>
      <c r="Y2" s="5"/>
      <c r="Z2" s="5"/>
    </row>
    <row r="3" ht="12.0" customHeight="1">
      <c r="A3" s="5"/>
      <c r="B3" s="5"/>
      <c r="C3" s="5"/>
      <c r="D3" s="5"/>
      <c r="E3" s="5"/>
      <c r="F3" s="5"/>
      <c r="G3" s="5"/>
      <c r="H3" s="5"/>
      <c r="I3" s="5"/>
      <c r="J3" s="5"/>
      <c r="K3" s="5"/>
      <c r="L3" s="5"/>
      <c r="M3" s="5"/>
      <c r="N3" s="5"/>
      <c r="O3" s="5"/>
      <c r="P3" s="5"/>
      <c r="Q3" s="5"/>
      <c r="R3" s="5"/>
      <c r="S3" s="5"/>
      <c r="T3" s="5"/>
      <c r="U3" s="5"/>
      <c r="V3" s="5"/>
      <c r="W3" s="5"/>
      <c r="X3" s="5"/>
      <c r="Y3" s="5"/>
      <c r="Z3" s="5"/>
    </row>
    <row r="4" ht="24.0" customHeight="1">
      <c r="A4" s="5"/>
      <c r="B4" s="7" t="s">
        <v>3</v>
      </c>
      <c r="C4" s="3"/>
      <c r="D4" s="3"/>
      <c r="E4" s="3"/>
      <c r="F4" s="3"/>
      <c r="G4" s="4"/>
      <c r="H4" s="5"/>
      <c r="I4" s="5"/>
      <c r="J4" s="5"/>
      <c r="K4" s="5"/>
      <c r="L4" s="5"/>
      <c r="M4" s="5"/>
      <c r="N4" s="5"/>
      <c r="O4" s="5"/>
      <c r="P4" s="5"/>
      <c r="Q4" s="5"/>
      <c r="R4" s="5"/>
      <c r="S4" s="5"/>
      <c r="T4" s="5"/>
      <c r="U4" s="5"/>
      <c r="V4" s="5"/>
      <c r="W4" s="5"/>
      <c r="X4" s="5"/>
      <c r="Y4" s="5"/>
      <c r="Z4" s="5"/>
    </row>
    <row r="5" ht="19.5" customHeight="1">
      <c r="A5" s="5"/>
      <c r="B5" s="8" t="s">
        <v>4</v>
      </c>
      <c r="C5" s="8" t="s">
        <v>5</v>
      </c>
      <c r="D5" s="8" t="s">
        <v>6</v>
      </c>
      <c r="E5" s="8" t="s">
        <v>7</v>
      </c>
      <c r="F5" s="8" t="s">
        <v>8</v>
      </c>
      <c r="G5" s="8" t="s">
        <v>9</v>
      </c>
      <c r="H5" s="5"/>
      <c r="I5" s="5"/>
      <c r="J5" s="5"/>
      <c r="K5" s="5"/>
      <c r="L5" s="5"/>
      <c r="M5" s="5"/>
      <c r="N5" s="5"/>
      <c r="O5" s="5"/>
      <c r="P5" s="5"/>
      <c r="Q5" s="5"/>
      <c r="R5" s="5"/>
      <c r="S5" s="5"/>
      <c r="T5" s="5"/>
      <c r="U5" s="5"/>
      <c r="V5" s="5"/>
      <c r="W5" s="5"/>
      <c r="X5" s="5"/>
      <c r="Y5" s="5"/>
      <c r="Z5" s="5"/>
    </row>
    <row r="6" ht="19.5" customHeight="1">
      <c r="A6" s="5"/>
      <c r="B6" s="9" t="s">
        <v>10</v>
      </c>
      <c r="C6" s="10">
        <f>COUNTA(WalletConnection!H5:H200)</f>
        <v>17</v>
      </c>
      <c r="D6" s="10">
        <f>COUNTIF(WalletConnection!H5:H200,"Pass")</f>
        <v>0</v>
      </c>
      <c r="E6" s="10">
        <f>COUNTIF(WalletConnection!H5:H200,"Fail")</f>
        <v>0</v>
      </c>
      <c r="F6" s="10">
        <f>COUNTIF(WalletConnection!H5:H200,"Blocked")</f>
        <v>0</v>
      </c>
      <c r="G6" s="11">
        <f t="shared" ref="G6:G15" si="1">IF(C6=0,"-",D6/C6)</f>
        <v>0</v>
      </c>
      <c r="H6" s="5"/>
      <c r="I6" s="5"/>
      <c r="J6" s="5"/>
      <c r="K6" s="5"/>
      <c r="L6" s="5"/>
      <c r="M6" s="5"/>
      <c r="N6" s="5"/>
      <c r="O6" s="5"/>
      <c r="P6" s="5"/>
      <c r="Q6" s="5"/>
      <c r="R6" s="5"/>
      <c r="S6" s="5"/>
      <c r="T6" s="5"/>
      <c r="U6" s="5"/>
      <c r="V6" s="5"/>
      <c r="W6" s="5"/>
      <c r="X6" s="5"/>
      <c r="Y6" s="5"/>
      <c r="Z6" s="5"/>
    </row>
    <row r="7" ht="19.5" customHeight="1">
      <c r="A7" s="5"/>
      <c r="B7" s="12" t="s">
        <v>11</v>
      </c>
      <c r="C7" s="13">
        <f>COUNTA(SafeWallet!H5:H200)</f>
        <v>16</v>
      </c>
      <c r="D7" s="13">
        <f>COUNTIF(SafeWallet!H5:H200,"Pass")</f>
        <v>0</v>
      </c>
      <c r="E7" s="13">
        <f>COUNTIF(SafeWallet!H5:H200,"Fail")</f>
        <v>0</v>
      </c>
      <c r="F7" s="13">
        <f>COUNTIF(SafeWallet!H5:H200,"Blocked")</f>
        <v>0</v>
      </c>
      <c r="G7" s="14">
        <f t="shared" si="1"/>
        <v>0</v>
      </c>
      <c r="H7" s="5"/>
      <c r="I7" s="5"/>
      <c r="J7" s="5"/>
      <c r="K7" s="5"/>
      <c r="L7" s="5"/>
      <c r="M7" s="5"/>
      <c r="N7" s="5"/>
      <c r="O7" s="5"/>
      <c r="P7" s="5"/>
      <c r="Q7" s="5"/>
      <c r="R7" s="5"/>
      <c r="S7" s="5"/>
      <c r="T7" s="5"/>
      <c r="U7" s="5"/>
      <c r="V7" s="5"/>
      <c r="W7" s="5"/>
      <c r="X7" s="5"/>
      <c r="Y7" s="5"/>
      <c r="Z7" s="5"/>
    </row>
    <row r="8" ht="19.5" customHeight="1">
      <c r="A8" s="5"/>
      <c r="B8" s="15" t="s">
        <v>12</v>
      </c>
      <c r="C8" s="16">
        <f>COUNTA(SmartAccounts!H5:H200)</f>
        <v>12</v>
      </c>
      <c r="D8" s="16">
        <f>COUNTIF(SmartAccounts!H5:H200,"Pass")</f>
        <v>0</v>
      </c>
      <c r="E8" s="16">
        <f>COUNTIF(SmartAccounts!H5:H200,"Fail")</f>
        <v>0</v>
      </c>
      <c r="F8" s="16">
        <f>COUNTIF(SmartAccounts!H5:H200,"Blocked")</f>
        <v>0</v>
      </c>
      <c r="G8" s="17">
        <f t="shared" si="1"/>
        <v>0</v>
      </c>
      <c r="H8" s="5"/>
      <c r="I8" s="5"/>
      <c r="J8" s="5"/>
      <c r="K8" s="5"/>
      <c r="L8" s="5"/>
      <c r="M8" s="5"/>
      <c r="N8" s="5"/>
      <c r="O8" s="5"/>
      <c r="P8" s="5"/>
      <c r="Q8" s="5"/>
      <c r="R8" s="5"/>
      <c r="S8" s="5"/>
      <c r="T8" s="5"/>
      <c r="U8" s="5"/>
      <c r="V8" s="5"/>
      <c r="W8" s="5"/>
      <c r="X8" s="5"/>
      <c r="Y8" s="5"/>
      <c r="Z8" s="5"/>
    </row>
    <row r="9" ht="19.5" customHeight="1">
      <c r="A9" s="5"/>
      <c r="B9" s="18" t="s">
        <v>13</v>
      </c>
      <c r="C9" s="13">
        <f>COUNTA(MarketOrders!H5:H200)</f>
        <v>79</v>
      </c>
      <c r="D9" s="13">
        <f>COUNTIF(MarketOrders!H5:H200,"Pass")</f>
        <v>0</v>
      </c>
      <c r="E9" s="13">
        <f>COUNTIF(MarketOrders!H5:H200,"Fail")</f>
        <v>0</v>
      </c>
      <c r="F9" s="13">
        <f>COUNTIF(MarketOrders!H5:H200,"Blocked")</f>
        <v>0</v>
      </c>
      <c r="G9" s="19">
        <f t="shared" si="1"/>
        <v>0</v>
      </c>
      <c r="H9" s="5"/>
      <c r="I9" s="5"/>
      <c r="J9" s="5"/>
      <c r="K9" s="5"/>
      <c r="L9" s="5"/>
      <c r="M9" s="5"/>
      <c r="N9" s="5"/>
      <c r="O9" s="5"/>
      <c r="P9" s="5"/>
      <c r="Q9" s="5"/>
      <c r="R9" s="5"/>
      <c r="S9" s="5"/>
      <c r="T9" s="5"/>
      <c r="U9" s="5"/>
      <c r="V9" s="5"/>
      <c r="W9" s="5"/>
      <c r="X9" s="5"/>
      <c r="Y9" s="5"/>
      <c r="Z9" s="5"/>
    </row>
    <row r="10" ht="19.5" customHeight="1">
      <c r="A10" s="5"/>
      <c r="B10" s="9" t="s">
        <v>14</v>
      </c>
      <c r="C10" s="20">
        <f>COUNTA(LimitOrders!H5:H200)</f>
        <v>66</v>
      </c>
      <c r="D10" s="10">
        <f>COUNTIF(LimitOrders!H5:H199,"Pass")</f>
        <v>0</v>
      </c>
      <c r="E10" s="10">
        <f>COUNTIF(LimitOrders!H5:H199,"Fail")</f>
        <v>0</v>
      </c>
      <c r="F10" s="10">
        <f>COUNTIF(LimitOrders!H5:H199,"Blocked")</f>
        <v>0</v>
      </c>
      <c r="G10" s="11">
        <f t="shared" si="1"/>
        <v>0</v>
      </c>
      <c r="H10" s="5"/>
      <c r="I10" s="5"/>
      <c r="J10" s="5"/>
      <c r="K10" s="5"/>
      <c r="L10" s="5"/>
      <c r="M10" s="5"/>
      <c r="N10" s="5"/>
      <c r="O10" s="5"/>
      <c r="P10" s="5"/>
      <c r="Q10" s="5"/>
      <c r="R10" s="5"/>
      <c r="S10" s="5"/>
      <c r="T10" s="5"/>
      <c r="U10" s="5"/>
      <c r="V10" s="5"/>
      <c r="W10" s="5"/>
      <c r="X10" s="5"/>
      <c r="Y10" s="5"/>
      <c r="Z10" s="5"/>
    </row>
    <row r="11" ht="19.5" customHeight="1">
      <c r="A11" s="5"/>
      <c r="B11" s="18" t="s">
        <v>15</v>
      </c>
      <c r="C11" s="21">
        <f>COUNTA(TWAPOrders!H5:H201)</f>
        <v>57</v>
      </c>
      <c r="D11" s="13">
        <f>COUNTIF(TWAPOrders!H5:H195,"Pass")</f>
        <v>0</v>
      </c>
      <c r="E11" s="13">
        <f>COUNTIF(TWAPOrders!H5:H195,"Fail")</f>
        <v>0</v>
      </c>
      <c r="F11" s="13">
        <f>COUNTIF(TWAPOrders!H5:H195,"Blocked")</f>
        <v>0</v>
      </c>
      <c r="G11" s="19">
        <f t="shared" si="1"/>
        <v>0</v>
      </c>
      <c r="H11" s="5"/>
      <c r="I11" s="5"/>
      <c r="J11" s="5"/>
      <c r="K11" s="5"/>
      <c r="L11" s="5"/>
      <c r="M11" s="5"/>
      <c r="N11" s="5"/>
      <c r="O11" s="5"/>
      <c r="P11" s="5"/>
      <c r="Q11" s="5"/>
      <c r="R11" s="5"/>
      <c r="S11" s="5"/>
      <c r="T11" s="5"/>
      <c r="U11" s="5"/>
      <c r="V11" s="5"/>
      <c r="W11" s="5"/>
      <c r="X11" s="5"/>
      <c r="Y11" s="5"/>
      <c r="Z11" s="5"/>
    </row>
    <row r="12" ht="19.5" customHeight="1">
      <c r="A12" s="5"/>
      <c r="B12" s="9" t="s">
        <v>16</v>
      </c>
      <c r="C12" s="10">
        <f>COUNTA(CrossChain!H5:H195)</f>
        <v>31</v>
      </c>
      <c r="D12" s="10">
        <f>COUNTIF(CrossChain!H5:H195,"Pass")</f>
        <v>0</v>
      </c>
      <c r="E12" s="10">
        <f>COUNTIF(CrossChain!H5:H195,"Fail")</f>
        <v>0</v>
      </c>
      <c r="F12" s="10">
        <f>COUNTIF(CrossChain!H5:H195,"Blocked")</f>
        <v>0</v>
      </c>
      <c r="G12" s="11">
        <f t="shared" si="1"/>
        <v>0</v>
      </c>
      <c r="H12" s="5"/>
      <c r="I12" s="5"/>
      <c r="J12" s="5"/>
      <c r="K12" s="5"/>
      <c r="L12" s="5"/>
      <c r="M12" s="5"/>
      <c r="N12" s="5"/>
      <c r="O12" s="5"/>
      <c r="P12" s="5"/>
      <c r="Q12" s="5"/>
      <c r="R12" s="5"/>
      <c r="S12" s="5"/>
      <c r="T12" s="5"/>
      <c r="U12" s="5"/>
      <c r="V12" s="5"/>
      <c r="W12" s="5"/>
      <c r="X12" s="5"/>
      <c r="Y12" s="5"/>
      <c r="Z12" s="5"/>
    </row>
    <row r="13" ht="21.75" customHeight="1">
      <c r="A13" s="5"/>
      <c r="B13" s="18" t="s">
        <v>17</v>
      </c>
      <c r="C13" s="13">
        <f>COUNTA(UIUX!H5:H200)</f>
        <v>23</v>
      </c>
      <c r="D13" s="13">
        <f>COUNTIF(UIUX!H5:H200,"Pass")</f>
        <v>0</v>
      </c>
      <c r="E13" s="13">
        <f>COUNTIF(UIUX!H5:H200,"Fail")</f>
        <v>0</v>
      </c>
      <c r="F13" s="13">
        <f>COUNTIF(UIUX!H5:H200,"Blocked")</f>
        <v>0</v>
      </c>
      <c r="G13" s="19">
        <f t="shared" si="1"/>
        <v>0</v>
      </c>
      <c r="H13" s="5"/>
      <c r="I13" s="5"/>
      <c r="J13" s="5"/>
      <c r="K13" s="5"/>
      <c r="L13" s="5"/>
      <c r="M13" s="5"/>
      <c r="N13" s="5"/>
      <c r="O13" s="5"/>
      <c r="P13" s="5"/>
      <c r="Q13" s="5"/>
      <c r="R13" s="5"/>
      <c r="S13" s="5"/>
      <c r="T13" s="5"/>
      <c r="U13" s="5"/>
      <c r="V13" s="5"/>
      <c r="W13" s="5"/>
      <c r="X13" s="5"/>
      <c r="Y13" s="5"/>
      <c r="Z13" s="5"/>
    </row>
    <row r="14" ht="12.0" customHeight="1">
      <c r="A14" s="5"/>
      <c r="B14" s="22" t="s">
        <v>18</v>
      </c>
      <c r="C14" s="10">
        <f>COUNTA(Hooks!H5:H200)</f>
        <v>7</v>
      </c>
      <c r="D14" s="10">
        <f>COUNTIF(Hooks!H5:H200,"Pass")</f>
        <v>0</v>
      </c>
      <c r="E14" s="10">
        <f>COUNTIF(Hooks!H5:H200,"Fail")</f>
        <v>0</v>
      </c>
      <c r="F14" s="10">
        <f>COUNTIF(Hooks!H5:H200,"Blocked")</f>
        <v>0</v>
      </c>
      <c r="G14" s="19">
        <f t="shared" si="1"/>
        <v>0</v>
      </c>
      <c r="H14" s="5"/>
      <c r="I14" s="5"/>
      <c r="J14" s="5"/>
      <c r="K14" s="5"/>
      <c r="L14" s="5"/>
      <c r="M14" s="5"/>
      <c r="N14" s="5"/>
      <c r="O14" s="5"/>
      <c r="P14" s="5"/>
      <c r="Q14" s="5"/>
      <c r="R14" s="5"/>
      <c r="S14" s="5"/>
      <c r="T14" s="5"/>
      <c r="U14" s="5"/>
      <c r="V14" s="5"/>
      <c r="W14" s="5"/>
      <c r="X14" s="5"/>
      <c r="Y14" s="5"/>
      <c r="Z14" s="5"/>
    </row>
    <row r="15" ht="21.75" customHeight="1">
      <c r="A15" s="5"/>
      <c r="B15" s="15" t="s">
        <v>19</v>
      </c>
      <c r="C15" s="16">
        <f>COUNTA(AccountOverview!H5:H212)</f>
        <v>35</v>
      </c>
      <c r="D15" s="16">
        <f>COUNTIF(AccountOverview!H5:H212,"Pass")</f>
        <v>0</v>
      </c>
      <c r="E15" s="16">
        <f>COUNTIF(AccountOverview!H5:H212,"Fail")</f>
        <v>0</v>
      </c>
      <c r="F15" s="16">
        <f>COUNTIF(AccountOverview!H5:H212,"Blocked")</f>
        <v>0</v>
      </c>
      <c r="G15" s="17">
        <f t="shared" si="1"/>
        <v>0</v>
      </c>
      <c r="H15" s="5"/>
      <c r="I15" s="5"/>
      <c r="J15" s="5"/>
      <c r="K15" s="5"/>
      <c r="L15" s="5"/>
      <c r="M15" s="5"/>
      <c r="N15" s="5"/>
      <c r="O15" s="5"/>
      <c r="P15" s="5"/>
      <c r="Q15" s="5"/>
      <c r="R15" s="5"/>
      <c r="S15" s="5"/>
      <c r="T15" s="5"/>
      <c r="U15" s="5"/>
      <c r="V15" s="5"/>
      <c r="W15" s="5"/>
      <c r="X15" s="5"/>
      <c r="Y15" s="5"/>
      <c r="Z15" s="5"/>
    </row>
    <row r="16" ht="18.0" customHeight="1">
      <c r="A16" s="5"/>
      <c r="B16" s="15" t="s">
        <v>20</v>
      </c>
      <c r="C16" s="16">
        <f>COUNTA(RWA!H5:H200)</f>
        <v>19</v>
      </c>
      <c r="D16" s="16">
        <f>COUNTIF(RWA!H5:H200,"Pass")</f>
        <v>0</v>
      </c>
      <c r="E16" s="16">
        <f>COUNTIF(RWA!H5:H200,"Fail")</f>
        <v>0</v>
      </c>
      <c r="F16" s="16">
        <f>COUNTIF(RWA!H5:H200,"Blocked")</f>
        <v>0</v>
      </c>
      <c r="G16" s="17">
        <f>IFERROR(D16/C16,0)</f>
        <v>0</v>
      </c>
      <c r="H16" s="5"/>
      <c r="I16" s="5"/>
      <c r="J16" s="5"/>
      <c r="K16" s="5"/>
      <c r="L16" s="5"/>
      <c r="M16" s="5"/>
      <c r="N16" s="5"/>
      <c r="O16" s="5"/>
      <c r="P16" s="5"/>
      <c r="Q16" s="5"/>
      <c r="R16" s="5"/>
      <c r="S16" s="5"/>
      <c r="T16" s="5"/>
      <c r="U16" s="5"/>
      <c r="V16" s="5"/>
      <c r="W16" s="5"/>
      <c r="X16" s="5"/>
      <c r="Y16" s="5"/>
      <c r="Z16" s="5"/>
    </row>
    <row r="17" ht="18.0" customHeight="1">
      <c r="A17" s="5"/>
      <c r="B17" s="23" t="s">
        <v>21</v>
      </c>
      <c r="C17" s="24">
        <f t="shared" ref="C17:F17" si="2">SUM(C6:C16)</f>
        <v>362</v>
      </c>
      <c r="D17" s="24">
        <f t="shared" si="2"/>
        <v>0</v>
      </c>
      <c r="E17" s="24">
        <f t="shared" si="2"/>
        <v>0</v>
      </c>
      <c r="F17" s="24">
        <f t="shared" si="2"/>
        <v>0</v>
      </c>
      <c r="G17" s="25">
        <f>IF(C17=0,"-",D17/C17)</f>
        <v>0</v>
      </c>
      <c r="H17" s="5"/>
      <c r="I17" s="5"/>
      <c r="J17" s="5"/>
      <c r="K17" s="5"/>
      <c r="L17" s="5"/>
      <c r="M17" s="5"/>
      <c r="N17" s="5"/>
      <c r="O17" s="5"/>
      <c r="P17" s="5"/>
      <c r="Q17" s="5"/>
      <c r="R17" s="5"/>
      <c r="S17" s="5"/>
      <c r="T17" s="5"/>
      <c r="U17" s="5"/>
      <c r="V17" s="5"/>
      <c r="W17" s="5"/>
      <c r="X17" s="5"/>
      <c r="Y17" s="5"/>
      <c r="Z17" s="5"/>
    </row>
    <row r="18" ht="18.0" customHeight="1">
      <c r="A18" s="5"/>
      <c r="B18" s="5"/>
      <c r="H18" s="5"/>
      <c r="I18" s="5"/>
      <c r="J18" s="5"/>
      <c r="K18" s="5"/>
      <c r="L18" s="5"/>
      <c r="M18" s="5"/>
      <c r="N18" s="5"/>
      <c r="O18" s="5"/>
      <c r="P18" s="5"/>
      <c r="Q18" s="5"/>
      <c r="R18" s="5"/>
      <c r="S18" s="5"/>
      <c r="T18" s="5"/>
      <c r="U18" s="5"/>
      <c r="V18" s="5"/>
      <c r="W18" s="5"/>
      <c r="X18" s="5"/>
      <c r="Y18" s="5"/>
      <c r="Z18" s="5"/>
    </row>
    <row r="19" ht="18.0" customHeight="1">
      <c r="A19" s="5"/>
      <c r="B19" s="26" t="s">
        <v>22</v>
      </c>
      <c r="C19" s="3"/>
      <c r="D19" s="3"/>
      <c r="E19" s="3"/>
      <c r="F19" s="3"/>
      <c r="G19" s="4"/>
      <c r="H19" s="5"/>
      <c r="I19" s="5"/>
      <c r="J19" s="5"/>
      <c r="K19" s="5"/>
      <c r="L19" s="5"/>
      <c r="M19" s="5"/>
      <c r="N19" s="5"/>
      <c r="O19" s="5"/>
      <c r="P19" s="5"/>
      <c r="Q19" s="5"/>
      <c r="R19" s="5"/>
      <c r="S19" s="5"/>
      <c r="T19" s="5"/>
      <c r="U19" s="5"/>
      <c r="V19" s="5"/>
      <c r="W19" s="5"/>
      <c r="X19" s="5"/>
      <c r="Y19" s="5"/>
      <c r="Z19" s="5"/>
    </row>
    <row r="20" ht="18.0" customHeight="1">
      <c r="A20" s="5"/>
      <c r="B20" s="27" t="s">
        <v>23</v>
      </c>
      <c r="C20" s="28"/>
      <c r="D20" s="28"/>
      <c r="E20" s="28"/>
      <c r="F20" s="28"/>
      <c r="G20" s="29"/>
      <c r="H20" s="5"/>
      <c r="I20" s="5"/>
      <c r="J20" s="5"/>
      <c r="K20" s="5"/>
      <c r="L20" s="5"/>
      <c r="M20" s="5"/>
      <c r="N20" s="5"/>
      <c r="O20" s="5"/>
      <c r="P20" s="5"/>
      <c r="Q20" s="5"/>
      <c r="R20" s="5"/>
      <c r="S20" s="5"/>
      <c r="T20" s="5"/>
      <c r="U20" s="5"/>
      <c r="V20" s="5"/>
      <c r="W20" s="5"/>
      <c r="X20" s="5"/>
      <c r="Y20" s="5"/>
      <c r="Z20" s="5"/>
    </row>
    <row r="21" ht="15.75" customHeight="1">
      <c r="A21" s="5"/>
      <c r="B21" s="30" t="s">
        <v>24</v>
      </c>
      <c r="C21" s="31"/>
      <c r="D21" s="31"/>
      <c r="E21" s="31"/>
      <c r="F21" s="31"/>
      <c r="G21" s="32"/>
      <c r="H21" s="5"/>
      <c r="I21" s="5"/>
      <c r="J21" s="5"/>
      <c r="K21" s="5"/>
      <c r="L21" s="5"/>
      <c r="M21" s="5"/>
      <c r="N21" s="5"/>
      <c r="O21" s="5"/>
      <c r="P21" s="5"/>
      <c r="Q21" s="5"/>
      <c r="R21" s="5"/>
      <c r="S21" s="5"/>
      <c r="T21" s="5"/>
      <c r="U21" s="5"/>
      <c r="V21" s="5"/>
      <c r="W21" s="5"/>
      <c r="X21" s="5"/>
      <c r="Y21" s="5"/>
      <c r="Z21" s="5"/>
    </row>
    <row r="22" ht="15.75" customHeight="1">
      <c r="A22" s="5"/>
      <c r="B22" s="33" t="s">
        <v>25</v>
      </c>
      <c r="C22" s="31"/>
      <c r="D22" s="31"/>
      <c r="E22" s="31"/>
      <c r="F22" s="31"/>
      <c r="G22" s="32"/>
      <c r="H22" s="5"/>
      <c r="I22" s="5"/>
      <c r="J22" s="5"/>
      <c r="K22" s="5"/>
      <c r="L22" s="5"/>
      <c r="M22" s="5"/>
      <c r="N22" s="5"/>
      <c r="O22" s="5"/>
      <c r="P22" s="5"/>
      <c r="Q22" s="5"/>
      <c r="R22" s="5"/>
      <c r="S22" s="5"/>
      <c r="T22" s="5"/>
      <c r="U22" s="5"/>
      <c r="V22" s="5"/>
      <c r="W22" s="5"/>
      <c r="X22" s="5"/>
      <c r="Y22" s="5"/>
      <c r="Z22" s="5"/>
    </row>
    <row r="23" ht="15.75" customHeight="1">
      <c r="A23" s="5"/>
      <c r="B23" s="34" t="s">
        <v>26</v>
      </c>
      <c r="C23" s="31"/>
      <c r="D23" s="31"/>
      <c r="E23" s="31"/>
      <c r="F23" s="31"/>
      <c r="G23" s="32"/>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mergeCells count="6">
    <mergeCell ref="B1:G1"/>
    <mergeCell ref="B2:G2"/>
    <mergeCell ref="B4:G4"/>
    <mergeCell ref="B18:G18"/>
    <mergeCell ref="B19:G19"/>
    <mergeCell ref="B20:G20"/>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32.0"/>
    <col customWidth="1" min="3" max="3" width="10.0"/>
    <col customWidth="1" min="4" max="4" width="13.0"/>
    <col customWidth="1" min="5" max="5" width="30.0"/>
    <col customWidth="1" min="6" max="7" width="42.0"/>
    <col customWidth="1" min="8" max="8" width="12.0"/>
    <col customWidth="1" min="9" max="9" width="30.0"/>
  </cols>
  <sheetData>
    <row r="1" ht="31.5" customHeight="1">
      <c r="A1" s="35" t="s">
        <v>27</v>
      </c>
      <c r="B1" s="3"/>
      <c r="C1" s="3"/>
      <c r="D1" s="3"/>
      <c r="E1" s="3"/>
      <c r="F1" s="3"/>
      <c r="G1" s="3"/>
      <c r="H1" s="3"/>
      <c r="I1" s="4"/>
      <c r="J1" s="5"/>
      <c r="K1" s="5"/>
      <c r="L1" s="5"/>
      <c r="M1" s="5"/>
      <c r="N1" s="5"/>
      <c r="O1" s="5"/>
      <c r="P1" s="5"/>
      <c r="Q1" s="5"/>
      <c r="R1" s="5"/>
      <c r="S1" s="5"/>
      <c r="T1" s="5"/>
      <c r="U1" s="5"/>
      <c r="V1" s="5"/>
      <c r="W1" s="5"/>
      <c r="X1" s="5"/>
      <c r="Y1" s="5"/>
      <c r="Z1" s="5"/>
    </row>
    <row r="2" ht="15.75" customHeight="1">
      <c r="A2" s="36" t="s">
        <v>28</v>
      </c>
      <c r="B2" s="3"/>
      <c r="C2" s="3"/>
      <c r="D2" s="3"/>
      <c r="E2" s="3"/>
      <c r="F2" s="3"/>
      <c r="G2" s="3"/>
      <c r="H2" s="3"/>
      <c r="I2" s="4"/>
      <c r="J2" s="5"/>
      <c r="K2" s="5"/>
      <c r="L2" s="5"/>
      <c r="M2" s="5"/>
      <c r="N2" s="5"/>
      <c r="O2" s="5"/>
      <c r="P2" s="5"/>
      <c r="Q2" s="5"/>
      <c r="R2" s="5"/>
      <c r="S2" s="5"/>
      <c r="T2" s="5"/>
      <c r="U2" s="5"/>
      <c r="V2" s="5"/>
      <c r="W2" s="5"/>
      <c r="X2" s="5"/>
      <c r="Y2" s="5"/>
      <c r="Z2" s="5"/>
    </row>
    <row r="3" ht="7.5" customHeight="1">
      <c r="A3" s="5"/>
      <c r="B3" s="5"/>
      <c r="C3" s="5"/>
      <c r="D3" s="5"/>
      <c r="E3" s="5"/>
      <c r="F3" s="5"/>
      <c r="G3" s="5"/>
      <c r="H3" s="5"/>
      <c r="I3" s="5"/>
      <c r="J3" s="5"/>
      <c r="K3" s="5"/>
      <c r="L3" s="5"/>
      <c r="M3" s="5"/>
      <c r="N3" s="5"/>
      <c r="O3" s="5"/>
      <c r="P3" s="5"/>
      <c r="Q3" s="5"/>
      <c r="R3" s="5"/>
      <c r="S3" s="5"/>
      <c r="T3" s="5"/>
      <c r="U3" s="5"/>
      <c r="V3" s="5"/>
      <c r="W3" s="5"/>
      <c r="X3" s="5"/>
      <c r="Y3" s="5"/>
      <c r="Z3" s="5"/>
    </row>
    <row r="4" ht="21.75" customHeight="1">
      <c r="A4" s="37" t="s">
        <v>29</v>
      </c>
      <c r="B4" s="37" t="s">
        <v>30</v>
      </c>
      <c r="C4" s="37" t="s">
        <v>31</v>
      </c>
      <c r="D4" s="37" t="s">
        <v>32</v>
      </c>
      <c r="E4" s="37" t="s">
        <v>33</v>
      </c>
      <c r="F4" s="37" t="s">
        <v>34</v>
      </c>
      <c r="G4" s="37" t="s">
        <v>35</v>
      </c>
      <c r="H4" s="37" t="s">
        <v>36</v>
      </c>
      <c r="I4" s="37" t="s">
        <v>37</v>
      </c>
      <c r="J4" s="5"/>
      <c r="K4" s="5"/>
      <c r="L4" s="5"/>
      <c r="M4" s="5"/>
      <c r="N4" s="5"/>
      <c r="O4" s="5"/>
      <c r="P4" s="5"/>
      <c r="Q4" s="5"/>
      <c r="R4" s="5"/>
      <c r="S4" s="5"/>
      <c r="T4" s="5"/>
      <c r="U4" s="5"/>
      <c r="V4" s="5"/>
      <c r="W4" s="5"/>
      <c r="X4" s="5"/>
      <c r="Y4" s="5"/>
      <c r="Z4" s="5"/>
    </row>
    <row r="5">
      <c r="A5" s="38" t="s">
        <v>38</v>
      </c>
      <c r="B5" s="39" t="s">
        <v>39</v>
      </c>
      <c r="C5" s="40" t="s">
        <v>40</v>
      </c>
      <c r="D5" s="41" t="s">
        <v>41</v>
      </c>
      <c r="E5" s="39" t="s">
        <v>42</v>
      </c>
      <c r="F5" s="39" t="s">
        <v>43</v>
      </c>
      <c r="G5" s="39" t="s">
        <v>44</v>
      </c>
      <c r="H5" s="41" t="s">
        <v>45</v>
      </c>
      <c r="I5" s="39"/>
      <c r="J5" s="5"/>
      <c r="K5" s="5"/>
      <c r="L5" s="5"/>
      <c r="M5" s="5"/>
      <c r="N5" s="5"/>
      <c r="O5" s="5"/>
      <c r="P5" s="5"/>
      <c r="Q5" s="5"/>
      <c r="R5" s="5"/>
      <c r="S5" s="5"/>
      <c r="T5" s="5"/>
      <c r="U5" s="5"/>
      <c r="V5" s="5"/>
      <c r="W5" s="5"/>
      <c r="X5" s="5"/>
      <c r="Y5" s="5"/>
      <c r="Z5" s="5"/>
    </row>
    <row r="6">
      <c r="A6" s="42" t="s">
        <v>46</v>
      </c>
      <c r="B6" s="43" t="s">
        <v>47</v>
      </c>
      <c r="C6" s="40" t="s">
        <v>40</v>
      </c>
      <c r="D6" s="44" t="s">
        <v>41</v>
      </c>
      <c r="E6" s="43" t="s">
        <v>48</v>
      </c>
      <c r="F6" s="43" t="s">
        <v>49</v>
      </c>
      <c r="G6" s="43" t="s">
        <v>50</v>
      </c>
      <c r="H6" s="44" t="s">
        <v>45</v>
      </c>
      <c r="I6" s="43"/>
      <c r="J6" s="5"/>
      <c r="K6" s="5"/>
      <c r="L6" s="5"/>
      <c r="M6" s="5"/>
      <c r="N6" s="5"/>
      <c r="O6" s="5"/>
      <c r="P6" s="5"/>
      <c r="Q6" s="5"/>
      <c r="R6" s="5"/>
      <c r="S6" s="5"/>
      <c r="T6" s="5"/>
      <c r="U6" s="5"/>
      <c r="V6" s="5"/>
      <c r="W6" s="5"/>
      <c r="X6" s="5"/>
      <c r="Y6" s="5"/>
      <c r="Z6" s="5"/>
    </row>
    <row r="7">
      <c r="A7" s="38" t="s">
        <v>51</v>
      </c>
      <c r="B7" s="39" t="s">
        <v>52</v>
      </c>
      <c r="C7" s="45" t="s">
        <v>53</v>
      </c>
      <c r="D7" s="41" t="s">
        <v>41</v>
      </c>
      <c r="E7" s="39" t="s">
        <v>54</v>
      </c>
      <c r="F7" s="39" t="s">
        <v>55</v>
      </c>
      <c r="G7" s="39" t="s">
        <v>56</v>
      </c>
      <c r="H7" s="41" t="s">
        <v>45</v>
      </c>
      <c r="I7" s="39"/>
      <c r="J7" s="5"/>
      <c r="K7" s="5"/>
      <c r="L7" s="5"/>
      <c r="M7" s="5"/>
      <c r="N7" s="5"/>
      <c r="O7" s="5"/>
      <c r="P7" s="5"/>
      <c r="Q7" s="5"/>
      <c r="R7" s="5"/>
      <c r="S7" s="5"/>
      <c r="T7" s="5"/>
      <c r="U7" s="5"/>
      <c r="V7" s="5"/>
      <c r="W7" s="5"/>
      <c r="X7" s="5"/>
      <c r="Y7" s="5"/>
      <c r="Z7" s="5"/>
    </row>
    <row r="8">
      <c r="A8" s="42" t="s">
        <v>57</v>
      </c>
      <c r="B8" s="43" t="s">
        <v>58</v>
      </c>
      <c r="C8" s="45" t="s">
        <v>53</v>
      </c>
      <c r="D8" s="44" t="s">
        <v>41</v>
      </c>
      <c r="E8" s="43" t="s">
        <v>59</v>
      </c>
      <c r="F8" s="43" t="s">
        <v>60</v>
      </c>
      <c r="G8" s="43" t="s">
        <v>61</v>
      </c>
      <c r="H8" s="44" t="s">
        <v>45</v>
      </c>
      <c r="I8" s="43"/>
      <c r="J8" s="5"/>
      <c r="K8" s="5"/>
      <c r="L8" s="5"/>
      <c r="M8" s="5"/>
      <c r="N8" s="5"/>
      <c r="O8" s="5"/>
      <c r="P8" s="5"/>
      <c r="Q8" s="5"/>
      <c r="R8" s="5"/>
      <c r="S8" s="5"/>
      <c r="T8" s="5"/>
      <c r="U8" s="5"/>
      <c r="V8" s="5"/>
      <c r="W8" s="5"/>
      <c r="X8" s="5"/>
      <c r="Y8" s="5"/>
      <c r="Z8" s="5"/>
    </row>
    <row r="9">
      <c r="A9" s="38" t="s">
        <v>62</v>
      </c>
      <c r="B9" s="39" t="s">
        <v>63</v>
      </c>
      <c r="C9" s="40" t="s">
        <v>40</v>
      </c>
      <c r="D9" s="41" t="s">
        <v>41</v>
      </c>
      <c r="E9" s="39" t="s">
        <v>64</v>
      </c>
      <c r="F9" s="39" t="s">
        <v>65</v>
      </c>
      <c r="G9" s="39" t="s">
        <v>66</v>
      </c>
      <c r="H9" s="41" t="s">
        <v>45</v>
      </c>
      <c r="I9" s="39"/>
      <c r="J9" s="5"/>
      <c r="K9" s="5"/>
      <c r="L9" s="5"/>
      <c r="M9" s="5"/>
      <c r="N9" s="5"/>
      <c r="O9" s="5"/>
      <c r="P9" s="5"/>
      <c r="Q9" s="5"/>
      <c r="R9" s="5"/>
      <c r="S9" s="5"/>
      <c r="T9" s="5"/>
      <c r="U9" s="5"/>
      <c r="V9" s="5"/>
      <c r="W9" s="5"/>
      <c r="X9" s="5"/>
      <c r="Y9" s="5"/>
      <c r="Z9" s="5"/>
    </row>
    <row r="10">
      <c r="A10" s="42" t="s">
        <v>67</v>
      </c>
      <c r="B10" s="43" t="s">
        <v>68</v>
      </c>
      <c r="C10" s="45" t="s">
        <v>53</v>
      </c>
      <c r="D10" s="44" t="s">
        <v>41</v>
      </c>
      <c r="E10" s="43" t="s">
        <v>69</v>
      </c>
      <c r="F10" s="43" t="s">
        <v>70</v>
      </c>
      <c r="G10" s="43" t="s">
        <v>71</v>
      </c>
      <c r="H10" s="44" t="s">
        <v>45</v>
      </c>
      <c r="I10" s="43"/>
      <c r="J10" s="5"/>
      <c r="K10" s="5"/>
      <c r="L10" s="5"/>
      <c r="M10" s="5"/>
      <c r="N10" s="5"/>
      <c r="O10" s="5"/>
      <c r="P10" s="5"/>
      <c r="Q10" s="5"/>
      <c r="R10" s="5"/>
      <c r="S10" s="5"/>
      <c r="T10" s="5"/>
      <c r="U10" s="5"/>
      <c r="V10" s="5"/>
      <c r="W10" s="5"/>
      <c r="X10" s="5"/>
      <c r="Y10" s="5"/>
      <c r="Z10" s="5"/>
    </row>
    <row r="11">
      <c r="A11" s="38" t="s">
        <v>72</v>
      </c>
      <c r="B11" s="39" t="s">
        <v>73</v>
      </c>
      <c r="C11" s="46" t="s">
        <v>74</v>
      </c>
      <c r="D11" s="41" t="s">
        <v>41</v>
      </c>
      <c r="E11" s="39" t="s">
        <v>75</v>
      </c>
      <c r="F11" s="39" t="s">
        <v>76</v>
      </c>
      <c r="G11" s="39" t="s">
        <v>77</v>
      </c>
      <c r="H11" s="41" t="s">
        <v>45</v>
      </c>
      <c r="I11" s="39"/>
      <c r="J11" s="5"/>
      <c r="K11" s="5"/>
      <c r="L11" s="5"/>
      <c r="M11" s="5"/>
      <c r="N11" s="5"/>
      <c r="O11" s="5"/>
      <c r="P11" s="5"/>
      <c r="Q11" s="5"/>
      <c r="R11" s="5"/>
      <c r="S11" s="5"/>
      <c r="T11" s="5"/>
      <c r="U11" s="5"/>
      <c r="V11" s="5"/>
      <c r="W11" s="5"/>
      <c r="X11" s="5"/>
      <c r="Y11" s="5"/>
      <c r="Z11" s="5"/>
    </row>
    <row r="12">
      <c r="A12" s="42" t="s">
        <v>78</v>
      </c>
      <c r="B12" s="43" t="s">
        <v>79</v>
      </c>
      <c r="C12" s="40" t="s">
        <v>40</v>
      </c>
      <c r="D12" s="44" t="s">
        <v>41</v>
      </c>
      <c r="E12" s="43" t="s">
        <v>80</v>
      </c>
      <c r="F12" s="43" t="s">
        <v>81</v>
      </c>
      <c r="G12" s="43" t="s">
        <v>82</v>
      </c>
      <c r="H12" s="44" t="s">
        <v>45</v>
      </c>
      <c r="I12" s="43"/>
      <c r="J12" s="5"/>
      <c r="K12" s="5"/>
      <c r="L12" s="5"/>
      <c r="M12" s="5"/>
      <c r="N12" s="5"/>
      <c r="O12" s="5"/>
      <c r="P12" s="5"/>
      <c r="Q12" s="5"/>
      <c r="R12" s="5"/>
      <c r="S12" s="5"/>
      <c r="T12" s="5"/>
      <c r="U12" s="5"/>
      <c r="V12" s="5"/>
      <c r="W12" s="5"/>
      <c r="X12" s="5"/>
      <c r="Y12" s="5"/>
      <c r="Z12" s="5"/>
    </row>
    <row r="13">
      <c r="A13" s="38" t="s">
        <v>83</v>
      </c>
      <c r="B13" s="39" t="s">
        <v>84</v>
      </c>
      <c r="C13" s="45" t="s">
        <v>53</v>
      </c>
      <c r="D13" s="41" t="s">
        <v>41</v>
      </c>
      <c r="E13" s="39" t="s">
        <v>85</v>
      </c>
      <c r="F13" s="39" t="s">
        <v>86</v>
      </c>
      <c r="G13" s="39" t="s">
        <v>87</v>
      </c>
      <c r="H13" s="41" t="s">
        <v>45</v>
      </c>
      <c r="I13" s="39"/>
      <c r="J13" s="5"/>
      <c r="K13" s="5"/>
      <c r="L13" s="5"/>
      <c r="M13" s="5"/>
      <c r="N13" s="5"/>
      <c r="O13" s="5"/>
      <c r="P13" s="5"/>
      <c r="Q13" s="5"/>
      <c r="R13" s="5"/>
      <c r="S13" s="5"/>
      <c r="T13" s="5"/>
      <c r="U13" s="5"/>
      <c r="V13" s="5"/>
      <c r="W13" s="5"/>
      <c r="X13" s="5"/>
      <c r="Y13" s="5"/>
      <c r="Z13" s="5"/>
    </row>
    <row r="14">
      <c r="A14" s="42" t="s">
        <v>88</v>
      </c>
      <c r="B14" s="43" t="s">
        <v>89</v>
      </c>
      <c r="C14" s="40" t="s">
        <v>40</v>
      </c>
      <c r="D14" s="44" t="s">
        <v>41</v>
      </c>
      <c r="E14" s="43" t="s">
        <v>90</v>
      </c>
      <c r="F14" s="43" t="s">
        <v>91</v>
      </c>
      <c r="G14" s="43" t="s">
        <v>92</v>
      </c>
      <c r="H14" s="44" t="s">
        <v>45</v>
      </c>
      <c r="I14" s="43"/>
      <c r="J14" s="5"/>
      <c r="K14" s="5"/>
      <c r="L14" s="5"/>
      <c r="M14" s="5"/>
      <c r="N14" s="5"/>
      <c r="O14" s="5"/>
      <c r="P14" s="5"/>
      <c r="Q14" s="5"/>
      <c r="R14" s="5"/>
      <c r="S14" s="5"/>
      <c r="T14" s="5"/>
      <c r="U14" s="5"/>
      <c r="V14" s="5"/>
      <c r="W14" s="5"/>
      <c r="X14" s="5"/>
      <c r="Y14" s="5"/>
      <c r="Z14" s="5"/>
    </row>
    <row r="15">
      <c r="A15" s="38" t="s">
        <v>93</v>
      </c>
      <c r="B15" s="39" t="s">
        <v>94</v>
      </c>
      <c r="C15" s="40" t="s">
        <v>40</v>
      </c>
      <c r="D15" s="41" t="s">
        <v>41</v>
      </c>
      <c r="E15" s="39" t="s">
        <v>95</v>
      </c>
      <c r="F15" s="39" t="s">
        <v>96</v>
      </c>
      <c r="G15" s="39" t="s">
        <v>97</v>
      </c>
      <c r="H15" s="41" t="s">
        <v>45</v>
      </c>
      <c r="I15" s="39"/>
      <c r="J15" s="5"/>
      <c r="K15" s="5"/>
      <c r="L15" s="5"/>
      <c r="M15" s="5"/>
      <c r="N15" s="5"/>
      <c r="O15" s="5"/>
      <c r="P15" s="5"/>
      <c r="Q15" s="5"/>
      <c r="R15" s="5"/>
      <c r="S15" s="5"/>
      <c r="T15" s="5"/>
      <c r="U15" s="5"/>
      <c r="V15" s="5"/>
      <c r="W15" s="5"/>
      <c r="X15" s="5"/>
      <c r="Y15" s="5"/>
      <c r="Z15" s="5"/>
    </row>
    <row r="16">
      <c r="A16" s="42" t="s">
        <v>98</v>
      </c>
      <c r="B16" s="43" t="s">
        <v>99</v>
      </c>
      <c r="C16" s="40" t="s">
        <v>40</v>
      </c>
      <c r="D16" s="44" t="s">
        <v>41</v>
      </c>
      <c r="E16" s="43" t="s">
        <v>100</v>
      </c>
      <c r="F16" s="43" t="s">
        <v>101</v>
      </c>
      <c r="G16" s="43" t="s">
        <v>102</v>
      </c>
      <c r="H16" s="44" t="s">
        <v>45</v>
      </c>
      <c r="I16" s="43" t="s">
        <v>103</v>
      </c>
      <c r="J16" s="5"/>
      <c r="K16" s="5"/>
      <c r="L16" s="5"/>
      <c r="M16" s="5"/>
      <c r="N16" s="5"/>
      <c r="O16" s="5"/>
      <c r="P16" s="5"/>
      <c r="Q16" s="5"/>
      <c r="R16" s="5"/>
      <c r="S16" s="5"/>
      <c r="T16" s="5"/>
      <c r="U16" s="5"/>
      <c r="V16" s="5"/>
      <c r="W16" s="5"/>
      <c r="X16" s="5"/>
      <c r="Y16" s="5"/>
      <c r="Z16" s="5"/>
    </row>
    <row r="17">
      <c r="A17" s="38" t="s">
        <v>104</v>
      </c>
      <c r="B17" s="39" t="s">
        <v>105</v>
      </c>
      <c r="C17" s="40" t="s">
        <v>40</v>
      </c>
      <c r="D17" s="41" t="s">
        <v>41</v>
      </c>
      <c r="E17" s="39" t="s">
        <v>106</v>
      </c>
      <c r="F17" s="39" t="s">
        <v>107</v>
      </c>
      <c r="G17" s="39" t="s">
        <v>108</v>
      </c>
      <c r="H17" s="41" t="s">
        <v>45</v>
      </c>
      <c r="I17" s="39" t="s">
        <v>109</v>
      </c>
      <c r="J17" s="5"/>
      <c r="K17" s="5"/>
      <c r="L17" s="5"/>
      <c r="M17" s="5"/>
      <c r="N17" s="5"/>
      <c r="O17" s="5"/>
      <c r="P17" s="5"/>
      <c r="Q17" s="5"/>
      <c r="R17" s="5"/>
      <c r="S17" s="5"/>
      <c r="T17" s="5"/>
      <c r="U17" s="5"/>
      <c r="V17" s="5"/>
      <c r="W17" s="5"/>
      <c r="X17" s="5"/>
      <c r="Y17" s="5"/>
      <c r="Z17" s="5"/>
    </row>
    <row r="18">
      <c r="A18" s="42" t="s">
        <v>110</v>
      </c>
      <c r="B18" s="43" t="s">
        <v>111</v>
      </c>
      <c r="C18" s="45" t="s">
        <v>53</v>
      </c>
      <c r="D18" s="44" t="s">
        <v>41</v>
      </c>
      <c r="E18" s="43" t="s">
        <v>112</v>
      </c>
      <c r="F18" s="43" t="s">
        <v>113</v>
      </c>
      <c r="G18" s="43" t="s">
        <v>114</v>
      </c>
      <c r="H18" s="44" t="s">
        <v>45</v>
      </c>
      <c r="I18" s="43"/>
      <c r="J18" s="5"/>
      <c r="K18" s="5"/>
      <c r="L18" s="5"/>
      <c r="M18" s="5"/>
      <c r="N18" s="5"/>
      <c r="O18" s="5"/>
      <c r="P18" s="5"/>
      <c r="Q18" s="5"/>
      <c r="R18" s="5"/>
      <c r="S18" s="5"/>
      <c r="T18" s="5"/>
      <c r="U18" s="5"/>
      <c r="V18" s="5"/>
      <c r="W18" s="5"/>
      <c r="X18" s="5"/>
      <c r="Y18" s="5"/>
      <c r="Z18" s="5"/>
    </row>
    <row r="19">
      <c r="A19" s="38" t="s">
        <v>115</v>
      </c>
      <c r="B19" s="39" t="s">
        <v>116</v>
      </c>
      <c r="C19" s="40" t="s">
        <v>40</v>
      </c>
      <c r="D19" s="41" t="s">
        <v>41</v>
      </c>
      <c r="E19" s="39" t="s">
        <v>75</v>
      </c>
      <c r="F19" s="39" t="s">
        <v>117</v>
      </c>
      <c r="G19" s="39" t="s">
        <v>118</v>
      </c>
      <c r="H19" s="41" t="s">
        <v>45</v>
      </c>
      <c r="I19" s="39"/>
      <c r="J19" s="5"/>
      <c r="K19" s="5"/>
      <c r="L19" s="5"/>
      <c r="M19" s="5"/>
      <c r="N19" s="5"/>
      <c r="O19" s="5"/>
      <c r="P19" s="5"/>
      <c r="Q19" s="5"/>
      <c r="R19" s="5"/>
      <c r="S19" s="5"/>
      <c r="T19" s="5"/>
      <c r="U19" s="5"/>
      <c r="V19" s="5"/>
      <c r="W19" s="5"/>
      <c r="X19" s="5"/>
      <c r="Y19" s="5"/>
      <c r="Z19" s="5"/>
    </row>
    <row r="20">
      <c r="A20" s="42" t="s">
        <v>119</v>
      </c>
      <c r="B20" s="43" t="s">
        <v>120</v>
      </c>
      <c r="C20" s="45" t="s">
        <v>53</v>
      </c>
      <c r="D20" s="44" t="s">
        <v>41</v>
      </c>
      <c r="E20" s="43" t="s">
        <v>75</v>
      </c>
      <c r="F20" s="43" t="s">
        <v>121</v>
      </c>
      <c r="G20" s="43" t="s">
        <v>122</v>
      </c>
      <c r="H20" s="44" t="s">
        <v>45</v>
      </c>
      <c r="I20" s="43"/>
      <c r="J20" s="5"/>
      <c r="K20" s="5"/>
      <c r="L20" s="5"/>
      <c r="M20" s="5"/>
      <c r="N20" s="5"/>
      <c r="O20" s="5"/>
      <c r="P20" s="5"/>
      <c r="Q20" s="5"/>
      <c r="R20" s="5"/>
      <c r="S20" s="5"/>
      <c r="T20" s="5"/>
      <c r="U20" s="5"/>
      <c r="V20" s="5"/>
      <c r="W20" s="5"/>
      <c r="X20" s="5"/>
      <c r="Y20" s="5"/>
      <c r="Z20" s="5"/>
    </row>
    <row r="21" ht="15.75" customHeight="1">
      <c r="A21" s="38" t="s">
        <v>123</v>
      </c>
      <c r="B21" s="39" t="s">
        <v>124</v>
      </c>
      <c r="C21" s="45" t="s">
        <v>53</v>
      </c>
      <c r="D21" s="41" t="s">
        <v>41</v>
      </c>
      <c r="E21" s="39" t="s">
        <v>64</v>
      </c>
      <c r="F21" s="39" t="s">
        <v>125</v>
      </c>
      <c r="G21" s="39" t="s">
        <v>126</v>
      </c>
      <c r="H21" s="41" t="s">
        <v>45</v>
      </c>
      <c r="I21" s="39"/>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A1:I1"/>
    <mergeCell ref="A2:I2"/>
  </mergeCells>
  <conditionalFormatting sqref="A19:I21">
    <cfRule type="expression" dxfId="0" priority="1">
      <formula>$H19="Blocked"</formula>
    </cfRule>
  </conditionalFormatting>
  <conditionalFormatting sqref="A19:I21">
    <cfRule type="expression" dxfId="1" priority="2">
      <formula>$H19="Fail"</formula>
    </cfRule>
  </conditionalFormatting>
  <conditionalFormatting sqref="A19:I21">
    <cfRule type="expression" dxfId="2" priority="3">
      <formula>$H19="Pass"</formula>
    </cfRule>
  </conditionalFormatting>
  <conditionalFormatting sqref="A5:I12">
    <cfRule type="expression" dxfId="2" priority="4">
      <formula>$H5="Pass"</formula>
    </cfRule>
  </conditionalFormatting>
  <conditionalFormatting sqref="A5:I12">
    <cfRule type="expression" dxfId="1" priority="5">
      <formula>$H5="Fail"</formula>
    </cfRule>
  </conditionalFormatting>
  <conditionalFormatting sqref="A5:I12">
    <cfRule type="expression" dxfId="0" priority="6">
      <formula>$H5="Blocked"</formula>
    </cfRule>
  </conditionalFormatting>
  <conditionalFormatting sqref="A5:I18">
    <cfRule type="expression" dxfId="2" priority="7">
      <formula>$H5="Pass"</formula>
    </cfRule>
  </conditionalFormatting>
  <conditionalFormatting sqref="A5:I18">
    <cfRule type="expression" dxfId="1" priority="8">
      <formula>$H5="Fail"</formula>
    </cfRule>
  </conditionalFormatting>
  <conditionalFormatting sqref="A5:I18">
    <cfRule type="expression" dxfId="0" priority="9">
      <formula>$H5="Blocked"</formula>
    </cfRule>
  </conditionalFormatting>
  <conditionalFormatting sqref="A5:I18">
    <cfRule type="expression" dxfId="2" priority="10">
      <formula>$H5="Pass"</formula>
    </cfRule>
  </conditionalFormatting>
  <conditionalFormatting sqref="A5:I18">
    <cfRule type="expression" dxfId="1" priority="11">
      <formula>$H5="Fail"</formula>
    </cfRule>
  </conditionalFormatting>
  <conditionalFormatting sqref="A5:I18">
    <cfRule type="expression" dxfId="0" priority="12">
      <formula>$H5="Blocked"</formula>
    </cfRule>
  </conditionalFormatting>
  <dataValidations>
    <dataValidation type="list" allowBlank="1" sqref="H5:H21">
      <formula1>"Pass,Fail,Blocked,Not Run"</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32.0"/>
    <col customWidth="1" min="3" max="3" width="10.0"/>
    <col customWidth="1" min="4" max="4" width="13.0"/>
    <col customWidth="1" min="5" max="5" width="30.0"/>
    <col customWidth="1" min="6" max="7" width="42.0"/>
    <col customWidth="1" min="8" max="8" width="12.0"/>
    <col customWidth="1" min="9" max="9" width="30.0"/>
  </cols>
  <sheetData>
    <row r="1" ht="31.5" customHeight="1">
      <c r="A1" s="35" t="s">
        <v>127</v>
      </c>
      <c r="B1" s="3"/>
      <c r="C1" s="3"/>
      <c r="D1" s="3"/>
      <c r="E1" s="3"/>
      <c r="F1" s="3"/>
      <c r="G1" s="3"/>
      <c r="H1" s="3"/>
      <c r="I1" s="4"/>
      <c r="J1" s="5"/>
      <c r="K1" s="5"/>
      <c r="L1" s="5"/>
      <c r="M1" s="5"/>
      <c r="N1" s="5"/>
      <c r="O1" s="5"/>
      <c r="P1" s="5"/>
      <c r="Q1" s="5"/>
      <c r="R1" s="5"/>
      <c r="S1" s="5"/>
      <c r="T1" s="5"/>
      <c r="U1" s="5"/>
      <c r="V1" s="5"/>
      <c r="W1" s="5"/>
      <c r="X1" s="5"/>
      <c r="Y1" s="5"/>
      <c r="Z1" s="5"/>
    </row>
    <row r="2" ht="15.75" customHeight="1">
      <c r="A2" s="36" t="s">
        <v>128</v>
      </c>
      <c r="B2" s="3"/>
      <c r="C2" s="3"/>
      <c r="D2" s="3"/>
      <c r="E2" s="3"/>
      <c r="F2" s="3"/>
      <c r="G2" s="3"/>
      <c r="H2" s="3"/>
      <c r="I2" s="4"/>
      <c r="J2" s="5"/>
      <c r="K2" s="5"/>
      <c r="L2" s="5"/>
      <c r="M2" s="5"/>
      <c r="N2" s="5"/>
      <c r="O2" s="5"/>
      <c r="P2" s="5"/>
      <c r="Q2" s="5"/>
      <c r="R2" s="5"/>
      <c r="S2" s="5"/>
      <c r="T2" s="5"/>
      <c r="U2" s="5"/>
      <c r="V2" s="5"/>
      <c r="W2" s="5"/>
      <c r="X2" s="5"/>
      <c r="Y2" s="5"/>
      <c r="Z2" s="5"/>
    </row>
    <row r="3" ht="7.5" customHeight="1">
      <c r="A3" s="5"/>
      <c r="B3" s="5"/>
      <c r="C3" s="5"/>
      <c r="D3" s="5"/>
      <c r="E3" s="5"/>
      <c r="F3" s="5"/>
      <c r="G3" s="5"/>
      <c r="H3" s="5"/>
      <c r="I3" s="5"/>
      <c r="J3" s="5"/>
      <c r="K3" s="5"/>
      <c r="L3" s="5"/>
      <c r="M3" s="5"/>
      <c r="N3" s="5"/>
      <c r="O3" s="5"/>
      <c r="P3" s="5"/>
      <c r="Q3" s="5"/>
      <c r="R3" s="5"/>
      <c r="S3" s="5"/>
      <c r="T3" s="5"/>
      <c r="U3" s="5"/>
      <c r="V3" s="5"/>
      <c r="W3" s="5"/>
      <c r="X3" s="5"/>
      <c r="Y3" s="5"/>
      <c r="Z3" s="5"/>
    </row>
    <row r="4" ht="21.75" customHeight="1">
      <c r="A4" s="37" t="s">
        <v>29</v>
      </c>
      <c r="B4" s="37" t="s">
        <v>30</v>
      </c>
      <c r="C4" s="37" t="s">
        <v>31</v>
      </c>
      <c r="D4" s="37" t="s">
        <v>32</v>
      </c>
      <c r="E4" s="37" t="s">
        <v>33</v>
      </c>
      <c r="F4" s="37" t="s">
        <v>34</v>
      </c>
      <c r="G4" s="37" t="s">
        <v>35</v>
      </c>
      <c r="H4" s="37" t="s">
        <v>36</v>
      </c>
      <c r="I4" s="37" t="s">
        <v>37</v>
      </c>
      <c r="J4" s="5"/>
      <c r="K4" s="5"/>
      <c r="L4" s="5"/>
      <c r="M4" s="5"/>
      <c r="N4" s="5"/>
      <c r="O4" s="5"/>
      <c r="P4" s="5"/>
      <c r="Q4" s="5"/>
      <c r="R4" s="5"/>
      <c r="S4" s="5"/>
      <c r="T4" s="5"/>
      <c r="U4" s="5"/>
      <c r="V4" s="5"/>
      <c r="W4" s="5"/>
      <c r="X4" s="5"/>
      <c r="Y4" s="5"/>
      <c r="Z4" s="5"/>
    </row>
    <row r="5">
      <c r="A5" s="38" t="s">
        <v>129</v>
      </c>
      <c r="B5" s="39" t="s">
        <v>130</v>
      </c>
      <c r="C5" s="40" t="s">
        <v>40</v>
      </c>
      <c r="D5" s="41" t="s">
        <v>41</v>
      </c>
      <c r="E5" s="39" t="s">
        <v>131</v>
      </c>
      <c r="F5" s="39" t="s">
        <v>132</v>
      </c>
      <c r="G5" s="39" t="s">
        <v>133</v>
      </c>
      <c r="H5" s="41" t="s">
        <v>45</v>
      </c>
      <c r="I5" s="39" t="s">
        <v>134</v>
      </c>
      <c r="J5" s="5"/>
      <c r="K5" s="5"/>
      <c r="L5" s="5"/>
      <c r="M5" s="5"/>
      <c r="N5" s="5"/>
      <c r="O5" s="5"/>
      <c r="P5" s="5"/>
      <c r="Q5" s="5"/>
      <c r="R5" s="5"/>
      <c r="S5" s="5"/>
      <c r="T5" s="5"/>
      <c r="U5" s="5"/>
      <c r="V5" s="5"/>
      <c r="W5" s="5"/>
      <c r="X5" s="5"/>
      <c r="Y5" s="5"/>
      <c r="Z5" s="5"/>
    </row>
    <row r="6">
      <c r="A6" s="42" t="s">
        <v>135</v>
      </c>
      <c r="B6" s="43" t="s">
        <v>136</v>
      </c>
      <c r="C6" s="40" t="s">
        <v>40</v>
      </c>
      <c r="D6" s="44" t="s">
        <v>41</v>
      </c>
      <c r="E6" s="43" t="s">
        <v>137</v>
      </c>
      <c r="F6" s="43" t="s">
        <v>138</v>
      </c>
      <c r="G6" s="43" t="s">
        <v>139</v>
      </c>
      <c r="H6" s="44" t="s">
        <v>45</v>
      </c>
      <c r="I6" s="43"/>
      <c r="J6" s="5"/>
      <c r="K6" s="5"/>
      <c r="L6" s="5"/>
      <c r="M6" s="5"/>
      <c r="N6" s="5"/>
      <c r="O6" s="5"/>
      <c r="P6" s="5"/>
      <c r="Q6" s="5"/>
      <c r="R6" s="5"/>
      <c r="S6" s="5"/>
      <c r="T6" s="5"/>
      <c r="U6" s="5"/>
      <c r="V6" s="5"/>
      <c r="W6" s="5"/>
      <c r="X6" s="5"/>
      <c r="Y6" s="5"/>
      <c r="Z6" s="5"/>
    </row>
    <row r="7">
      <c r="A7" s="38" t="s">
        <v>140</v>
      </c>
      <c r="B7" s="39" t="s">
        <v>141</v>
      </c>
      <c r="C7" s="40" t="s">
        <v>40</v>
      </c>
      <c r="D7" s="41" t="s">
        <v>41</v>
      </c>
      <c r="E7" s="39" t="s">
        <v>142</v>
      </c>
      <c r="F7" s="39" t="s">
        <v>143</v>
      </c>
      <c r="G7" s="39" t="s">
        <v>144</v>
      </c>
      <c r="H7" s="41" t="s">
        <v>45</v>
      </c>
      <c r="I7" s="39" t="s">
        <v>145</v>
      </c>
      <c r="J7" s="5"/>
      <c r="K7" s="5"/>
      <c r="L7" s="5"/>
      <c r="M7" s="5"/>
      <c r="N7" s="5"/>
      <c r="O7" s="5"/>
      <c r="P7" s="5"/>
      <c r="Q7" s="5"/>
      <c r="R7" s="5"/>
      <c r="S7" s="5"/>
      <c r="T7" s="5"/>
      <c r="U7" s="5"/>
      <c r="V7" s="5"/>
      <c r="W7" s="5"/>
      <c r="X7" s="5"/>
      <c r="Y7" s="5"/>
      <c r="Z7" s="5"/>
    </row>
    <row r="8">
      <c r="A8" s="42" t="s">
        <v>146</v>
      </c>
      <c r="B8" s="43" t="s">
        <v>147</v>
      </c>
      <c r="C8" s="40" t="s">
        <v>40</v>
      </c>
      <c r="D8" s="44" t="s">
        <v>41</v>
      </c>
      <c r="E8" s="43" t="s">
        <v>148</v>
      </c>
      <c r="F8" s="43" t="s">
        <v>149</v>
      </c>
      <c r="G8" s="43" t="s">
        <v>150</v>
      </c>
      <c r="H8" s="44" t="s">
        <v>45</v>
      </c>
      <c r="I8" s="43" t="s">
        <v>151</v>
      </c>
      <c r="J8" s="5"/>
      <c r="K8" s="5"/>
      <c r="L8" s="5"/>
      <c r="M8" s="5"/>
      <c r="N8" s="5"/>
      <c r="O8" s="5"/>
      <c r="P8" s="5"/>
      <c r="Q8" s="5"/>
      <c r="R8" s="5"/>
      <c r="S8" s="5"/>
      <c r="T8" s="5"/>
      <c r="U8" s="5"/>
      <c r="V8" s="5"/>
      <c r="W8" s="5"/>
      <c r="X8" s="5"/>
      <c r="Y8" s="5"/>
      <c r="Z8" s="5"/>
    </row>
    <row r="9">
      <c r="A9" s="38" t="s">
        <v>152</v>
      </c>
      <c r="B9" s="39" t="s">
        <v>153</v>
      </c>
      <c r="C9" s="40" t="s">
        <v>40</v>
      </c>
      <c r="D9" s="41" t="s">
        <v>41</v>
      </c>
      <c r="E9" s="39" t="s">
        <v>154</v>
      </c>
      <c r="F9" s="39" t="s">
        <v>155</v>
      </c>
      <c r="G9" s="39" t="s">
        <v>156</v>
      </c>
      <c r="H9" s="41" t="s">
        <v>45</v>
      </c>
      <c r="I9" s="39" t="s">
        <v>157</v>
      </c>
      <c r="J9" s="5"/>
      <c r="K9" s="5"/>
      <c r="L9" s="5"/>
      <c r="M9" s="5"/>
      <c r="N9" s="5"/>
      <c r="O9" s="5"/>
      <c r="P9" s="5"/>
      <c r="Q9" s="5"/>
      <c r="R9" s="5"/>
      <c r="S9" s="5"/>
      <c r="T9" s="5"/>
      <c r="U9" s="5"/>
      <c r="V9" s="5"/>
      <c r="W9" s="5"/>
      <c r="X9" s="5"/>
      <c r="Y9" s="5"/>
      <c r="Z9" s="5"/>
    </row>
    <row r="10">
      <c r="A10" s="42" t="s">
        <v>158</v>
      </c>
      <c r="B10" s="43" t="s">
        <v>159</v>
      </c>
      <c r="C10" s="40" t="s">
        <v>40</v>
      </c>
      <c r="D10" s="44" t="s">
        <v>41</v>
      </c>
      <c r="E10" s="43" t="s">
        <v>160</v>
      </c>
      <c r="F10" s="43" t="s">
        <v>161</v>
      </c>
      <c r="G10" s="43" t="s">
        <v>162</v>
      </c>
      <c r="H10" s="44" t="s">
        <v>45</v>
      </c>
      <c r="I10" s="43" t="s">
        <v>163</v>
      </c>
      <c r="J10" s="5"/>
      <c r="K10" s="5"/>
      <c r="L10" s="5"/>
      <c r="M10" s="5"/>
      <c r="N10" s="5"/>
      <c r="O10" s="5"/>
      <c r="P10" s="5"/>
      <c r="Q10" s="5"/>
      <c r="R10" s="5"/>
      <c r="S10" s="5"/>
      <c r="T10" s="5"/>
      <c r="U10" s="5"/>
      <c r="V10" s="5"/>
      <c r="W10" s="5"/>
      <c r="X10" s="5"/>
      <c r="Y10" s="5"/>
      <c r="Z10" s="5"/>
    </row>
    <row r="11">
      <c r="A11" s="38" t="s">
        <v>164</v>
      </c>
      <c r="B11" s="39" t="s">
        <v>165</v>
      </c>
      <c r="C11" s="40" t="s">
        <v>40</v>
      </c>
      <c r="D11" s="41" t="s">
        <v>41</v>
      </c>
      <c r="E11" s="39" t="s">
        <v>166</v>
      </c>
      <c r="F11" s="39" t="s">
        <v>167</v>
      </c>
      <c r="G11" s="39" t="s">
        <v>168</v>
      </c>
      <c r="H11" s="41" t="s">
        <v>45</v>
      </c>
      <c r="I11" s="39" t="s">
        <v>169</v>
      </c>
      <c r="J11" s="5"/>
      <c r="K11" s="5"/>
      <c r="L11" s="5"/>
      <c r="M11" s="5"/>
      <c r="N11" s="5"/>
      <c r="O11" s="5"/>
      <c r="P11" s="5"/>
      <c r="Q11" s="5"/>
      <c r="R11" s="5"/>
      <c r="S11" s="5"/>
      <c r="T11" s="5"/>
      <c r="U11" s="5"/>
      <c r="V11" s="5"/>
      <c r="W11" s="5"/>
      <c r="X11" s="5"/>
      <c r="Y11" s="5"/>
      <c r="Z11" s="5"/>
    </row>
    <row r="12">
      <c r="A12" s="42" t="s">
        <v>170</v>
      </c>
      <c r="B12" s="43" t="s">
        <v>171</v>
      </c>
      <c r="C12" s="40" t="s">
        <v>40</v>
      </c>
      <c r="D12" s="44" t="s">
        <v>41</v>
      </c>
      <c r="E12" s="43" t="s">
        <v>172</v>
      </c>
      <c r="F12" s="43" t="s">
        <v>173</v>
      </c>
      <c r="G12" s="43" t="s">
        <v>174</v>
      </c>
      <c r="H12" s="44" t="s">
        <v>45</v>
      </c>
      <c r="I12" s="43" t="s">
        <v>175</v>
      </c>
      <c r="J12" s="5"/>
      <c r="K12" s="5"/>
      <c r="L12" s="5"/>
      <c r="M12" s="5"/>
      <c r="N12" s="5"/>
      <c r="O12" s="5"/>
      <c r="P12" s="5"/>
      <c r="Q12" s="5"/>
      <c r="R12" s="5"/>
      <c r="S12" s="5"/>
      <c r="T12" s="5"/>
      <c r="U12" s="5"/>
      <c r="V12" s="5"/>
      <c r="W12" s="5"/>
      <c r="X12" s="5"/>
      <c r="Y12" s="5"/>
      <c r="Z12" s="5"/>
    </row>
    <row r="13">
      <c r="A13" s="38" t="s">
        <v>176</v>
      </c>
      <c r="B13" s="39" t="s">
        <v>177</v>
      </c>
      <c r="C13" s="45" t="s">
        <v>53</v>
      </c>
      <c r="D13" s="41" t="s">
        <v>41</v>
      </c>
      <c r="E13" s="39" t="s">
        <v>178</v>
      </c>
      <c r="F13" s="39" t="s">
        <v>179</v>
      </c>
      <c r="G13" s="39" t="s">
        <v>180</v>
      </c>
      <c r="H13" s="41" t="s">
        <v>45</v>
      </c>
      <c r="I13" s="39" t="s">
        <v>181</v>
      </c>
      <c r="J13" s="5"/>
      <c r="K13" s="5"/>
      <c r="L13" s="5"/>
      <c r="M13" s="5"/>
      <c r="N13" s="5"/>
      <c r="O13" s="5"/>
      <c r="P13" s="5"/>
      <c r="Q13" s="5"/>
      <c r="R13" s="5"/>
      <c r="S13" s="5"/>
      <c r="T13" s="5"/>
      <c r="U13" s="5"/>
      <c r="V13" s="5"/>
      <c r="W13" s="5"/>
      <c r="X13" s="5"/>
      <c r="Y13" s="5"/>
      <c r="Z13" s="5"/>
    </row>
    <row r="14">
      <c r="A14" s="42" t="s">
        <v>182</v>
      </c>
      <c r="B14" s="43" t="s">
        <v>183</v>
      </c>
      <c r="C14" s="40" t="s">
        <v>40</v>
      </c>
      <c r="D14" s="44" t="s">
        <v>41</v>
      </c>
      <c r="E14" s="43" t="s">
        <v>184</v>
      </c>
      <c r="F14" s="43" t="s">
        <v>185</v>
      </c>
      <c r="G14" s="43" t="s">
        <v>186</v>
      </c>
      <c r="H14" s="44" t="s">
        <v>45</v>
      </c>
      <c r="I14" s="43" t="s">
        <v>187</v>
      </c>
      <c r="J14" s="5"/>
      <c r="K14" s="5"/>
      <c r="L14" s="5"/>
      <c r="M14" s="5"/>
      <c r="N14" s="5"/>
      <c r="O14" s="5"/>
      <c r="P14" s="5"/>
      <c r="Q14" s="5"/>
      <c r="R14" s="5"/>
      <c r="S14" s="5"/>
      <c r="T14" s="5"/>
      <c r="U14" s="5"/>
      <c r="V14" s="5"/>
      <c r="W14" s="5"/>
      <c r="X14" s="5"/>
      <c r="Y14" s="5"/>
      <c r="Z14" s="5"/>
    </row>
    <row r="15">
      <c r="A15" s="38" t="s">
        <v>188</v>
      </c>
      <c r="B15" s="39" t="s">
        <v>189</v>
      </c>
      <c r="C15" s="40" t="s">
        <v>40</v>
      </c>
      <c r="D15" s="41" t="s">
        <v>41</v>
      </c>
      <c r="E15" s="39" t="s">
        <v>190</v>
      </c>
      <c r="F15" s="39" t="s">
        <v>191</v>
      </c>
      <c r="G15" s="39" t="s">
        <v>186</v>
      </c>
      <c r="H15" s="41" t="s">
        <v>45</v>
      </c>
      <c r="I15" s="39"/>
      <c r="J15" s="5"/>
      <c r="K15" s="5"/>
      <c r="L15" s="5"/>
      <c r="M15" s="5"/>
      <c r="N15" s="5"/>
      <c r="O15" s="5"/>
      <c r="P15" s="5"/>
      <c r="Q15" s="5"/>
      <c r="R15" s="5"/>
      <c r="S15" s="5"/>
      <c r="T15" s="5"/>
      <c r="U15" s="5"/>
      <c r="V15" s="5"/>
      <c r="W15" s="5"/>
      <c r="X15" s="5"/>
      <c r="Y15" s="5"/>
      <c r="Z15" s="5"/>
    </row>
    <row r="16">
      <c r="A16" s="42" t="s">
        <v>192</v>
      </c>
      <c r="B16" s="43" t="s">
        <v>193</v>
      </c>
      <c r="C16" s="45" t="s">
        <v>53</v>
      </c>
      <c r="D16" s="44" t="s">
        <v>41</v>
      </c>
      <c r="E16" s="43" t="s">
        <v>194</v>
      </c>
      <c r="F16" s="43" t="s">
        <v>195</v>
      </c>
      <c r="G16" s="43" t="s">
        <v>196</v>
      </c>
      <c r="H16" s="44" t="s">
        <v>45</v>
      </c>
      <c r="I16" s="43"/>
      <c r="J16" s="5"/>
      <c r="K16" s="5"/>
      <c r="L16" s="5"/>
      <c r="M16" s="5"/>
      <c r="N16" s="5"/>
      <c r="O16" s="5"/>
      <c r="P16" s="5"/>
      <c r="Q16" s="5"/>
      <c r="R16" s="5"/>
      <c r="S16" s="5"/>
      <c r="T16" s="5"/>
      <c r="U16" s="5"/>
      <c r="V16" s="5"/>
      <c r="W16" s="5"/>
      <c r="X16" s="5"/>
      <c r="Y16" s="5"/>
      <c r="Z16" s="5"/>
    </row>
    <row r="17">
      <c r="A17" s="38" t="s">
        <v>197</v>
      </c>
      <c r="B17" s="39" t="s">
        <v>198</v>
      </c>
      <c r="C17" s="45" t="s">
        <v>53</v>
      </c>
      <c r="D17" s="41" t="s">
        <v>41</v>
      </c>
      <c r="E17" s="39" t="s">
        <v>199</v>
      </c>
      <c r="F17" s="39" t="s">
        <v>200</v>
      </c>
      <c r="G17" s="39" t="s">
        <v>201</v>
      </c>
      <c r="H17" s="41" t="s">
        <v>45</v>
      </c>
      <c r="I17" s="39"/>
      <c r="J17" s="5"/>
      <c r="K17" s="5"/>
      <c r="L17" s="5"/>
      <c r="M17" s="5"/>
      <c r="N17" s="5"/>
      <c r="O17" s="5"/>
      <c r="P17" s="5"/>
      <c r="Q17" s="5"/>
      <c r="R17" s="5"/>
      <c r="S17" s="5"/>
      <c r="T17" s="5"/>
      <c r="U17" s="5"/>
      <c r="V17" s="5"/>
      <c r="W17" s="5"/>
      <c r="X17" s="5"/>
      <c r="Y17" s="5"/>
      <c r="Z17" s="5"/>
    </row>
    <row r="18">
      <c r="A18" s="42" t="s">
        <v>202</v>
      </c>
      <c r="B18" s="43" t="s">
        <v>203</v>
      </c>
      <c r="C18" s="40" t="s">
        <v>40</v>
      </c>
      <c r="D18" s="44" t="s">
        <v>41</v>
      </c>
      <c r="E18" s="43" t="s">
        <v>204</v>
      </c>
      <c r="F18" s="43" t="s">
        <v>205</v>
      </c>
      <c r="G18" s="43" t="s">
        <v>206</v>
      </c>
      <c r="H18" s="44" t="s">
        <v>45</v>
      </c>
      <c r="I18" s="43"/>
      <c r="J18" s="5"/>
      <c r="K18" s="5"/>
      <c r="L18" s="5"/>
      <c r="M18" s="5"/>
      <c r="N18" s="5"/>
      <c r="O18" s="5"/>
      <c r="P18" s="5"/>
      <c r="Q18" s="5"/>
      <c r="R18" s="5"/>
      <c r="S18" s="5"/>
      <c r="T18" s="5"/>
      <c r="U18" s="5"/>
      <c r="V18" s="5"/>
      <c r="W18" s="5"/>
      <c r="X18" s="5"/>
      <c r="Y18" s="5"/>
      <c r="Z18" s="5"/>
    </row>
    <row r="19">
      <c r="A19" s="38" t="s">
        <v>207</v>
      </c>
      <c r="B19" s="39" t="s">
        <v>208</v>
      </c>
      <c r="C19" s="40" t="s">
        <v>40</v>
      </c>
      <c r="D19" s="41" t="s">
        <v>41</v>
      </c>
      <c r="E19" s="39" t="s">
        <v>209</v>
      </c>
      <c r="F19" s="39" t="s">
        <v>210</v>
      </c>
      <c r="G19" s="39" t="s">
        <v>211</v>
      </c>
      <c r="H19" s="41" t="s">
        <v>45</v>
      </c>
      <c r="I19" s="39"/>
      <c r="J19" s="5"/>
      <c r="K19" s="5"/>
      <c r="L19" s="5"/>
      <c r="M19" s="5"/>
      <c r="N19" s="5"/>
      <c r="O19" s="5"/>
      <c r="P19" s="5"/>
      <c r="Q19" s="5"/>
      <c r="R19" s="5"/>
      <c r="S19" s="5"/>
      <c r="T19" s="5"/>
      <c r="U19" s="5"/>
      <c r="V19" s="5"/>
      <c r="W19" s="5"/>
      <c r="X19" s="5"/>
      <c r="Y19" s="5"/>
      <c r="Z19" s="5"/>
    </row>
    <row r="20">
      <c r="A20" s="42" t="s">
        <v>212</v>
      </c>
      <c r="B20" s="43" t="s">
        <v>213</v>
      </c>
      <c r="C20" s="40" t="s">
        <v>40</v>
      </c>
      <c r="D20" s="44" t="s">
        <v>41</v>
      </c>
      <c r="E20" s="43" t="s">
        <v>204</v>
      </c>
      <c r="F20" s="43" t="s">
        <v>214</v>
      </c>
      <c r="G20" s="43" t="s">
        <v>215</v>
      </c>
      <c r="H20" s="44" t="s">
        <v>45</v>
      </c>
      <c r="I20" s="43"/>
      <c r="J20" s="5"/>
      <c r="K20" s="5"/>
      <c r="L20" s="5"/>
      <c r="M20" s="5"/>
      <c r="N20" s="5"/>
      <c r="O20" s="5"/>
      <c r="P20" s="5"/>
      <c r="Q20" s="5"/>
      <c r="R20" s="5"/>
      <c r="S20" s="5"/>
      <c r="T20" s="5"/>
      <c r="U20" s="5"/>
      <c r="V20" s="5"/>
      <c r="W20" s="5"/>
      <c r="X20" s="5"/>
      <c r="Y20" s="5"/>
      <c r="Z20" s="5"/>
    </row>
    <row r="21" ht="15.75" customHeight="1">
      <c r="A21" s="38"/>
      <c r="B21" s="39"/>
      <c r="C21" s="40"/>
      <c r="D21" s="41"/>
      <c r="E21" s="39"/>
      <c r="F21" s="39"/>
      <c r="G21" s="39"/>
      <c r="H21" s="41"/>
      <c r="I21" s="39"/>
      <c r="J21" s="5"/>
      <c r="K21" s="5"/>
      <c r="L21" s="5"/>
      <c r="M21" s="5"/>
      <c r="N21" s="5"/>
      <c r="O21" s="5"/>
      <c r="P21" s="5"/>
      <c r="Q21" s="5"/>
      <c r="R21" s="5"/>
      <c r="S21" s="5"/>
      <c r="T21" s="5"/>
      <c r="U21" s="5"/>
      <c r="V21" s="5"/>
      <c r="W21" s="5"/>
      <c r="X21" s="5"/>
      <c r="Y21" s="5"/>
      <c r="Z21" s="5"/>
    </row>
    <row r="22" ht="15.75" customHeight="1">
      <c r="A22" s="42"/>
      <c r="B22" s="43"/>
      <c r="C22" s="44"/>
      <c r="D22" s="44"/>
      <c r="E22" s="43"/>
      <c r="F22" s="43"/>
      <c r="G22" s="43"/>
      <c r="H22" s="44"/>
      <c r="I22" s="43"/>
      <c r="J22" s="5"/>
      <c r="K22" s="5"/>
      <c r="L22" s="5"/>
      <c r="M22" s="5"/>
      <c r="N22" s="5"/>
      <c r="O22" s="5"/>
      <c r="P22" s="5"/>
      <c r="Q22" s="5"/>
      <c r="R22" s="5"/>
      <c r="S22" s="5"/>
      <c r="T22" s="5"/>
      <c r="U22" s="5"/>
      <c r="V22" s="5"/>
      <c r="W22" s="5"/>
      <c r="X22" s="5"/>
      <c r="Y22" s="5"/>
      <c r="Z22" s="5"/>
    </row>
    <row r="23" ht="15.75" customHeight="1">
      <c r="A23" s="38"/>
      <c r="B23" s="39"/>
      <c r="C23" s="41"/>
      <c r="D23" s="41"/>
      <c r="E23" s="39"/>
      <c r="F23" s="39"/>
      <c r="G23" s="39"/>
      <c r="H23" s="41"/>
      <c r="I23" s="39"/>
      <c r="J23" s="5"/>
      <c r="K23" s="5"/>
      <c r="L23" s="5"/>
      <c r="M23" s="5"/>
      <c r="N23" s="5"/>
      <c r="O23" s="5"/>
      <c r="P23" s="5"/>
      <c r="Q23" s="5"/>
      <c r="R23" s="5"/>
      <c r="S23" s="5"/>
      <c r="T23" s="5"/>
      <c r="U23" s="5"/>
      <c r="V23" s="5"/>
      <c r="W23" s="5"/>
      <c r="X23" s="5"/>
      <c r="Y23" s="5"/>
      <c r="Z23" s="5"/>
    </row>
    <row r="24" ht="15.75" customHeight="1">
      <c r="A24" s="42"/>
      <c r="B24" s="43"/>
      <c r="C24" s="44"/>
      <c r="D24" s="44"/>
      <c r="E24" s="43"/>
      <c r="F24" s="43"/>
      <c r="G24" s="43"/>
      <c r="H24" s="44"/>
      <c r="I24" s="43"/>
      <c r="J24" s="5"/>
      <c r="K24" s="5"/>
      <c r="L24" s="5"/>
      <c r="M24" s="5"/>
      <c r="N24" s="5"/>
      <c r="O24" s="5"/>
      <c r="P24" s="5"/>
      <c r="Q24" s="5"/>
      <c r="R24" s="5"/>
      <c r="S24" s="5"/>
      <c r="T24" s="5"/>
      <c r="U24" s="5"/>
      <c r="V24" s="5"/>
      <c r="W24" s="5"/>
      <c r="X24" s="5"/>
      <c r="Y24" s="5"/>
      <c r="Z24" s="5"/>
    </row>
    <row r="25" ht="15.75" customHeight="1">
      <c r="A25" s="38"/>
      <c r="B25" s="39"/>
      <c r="C25" s="41"/>
      <c r="D25" s="41"/>
      <c r="E25" s="39"/>
      <c r="F25" s="39"/>
      <c r="G25" s="39"/>
      <c r="H25" s="41"/>
      <c r="I25" s="39"/>
      <c r="J25" s="5"/>
      <c r="K25" s="5"/>
      <c r="L25" s="5"/>
      <c r="M25" s="5"/>
      <c r="N25" s="5"/>
      <c r="O25" s="5"/>
      <c r="P25" s="5"/>
      <c r="Q25" s="5"/>
      <c r="R25" s="5"/>
      <c r="S25" s="5"/>
      <c r="T25" s="5"/>
      <c r="U25" s="5"/>
      <c r="V25" s="5"/>
      <c r="W25" s="5"/>
      <c r="X25" s="5"/>
      <c r="Y25" s="5"/>
      <c r="Z25" s="5"/>
    </row>
    <row r="26" ht="15.75" customHeight="1">
      <c r="A26" s="42"/>
      <c r="B26" s="43"/>
      <c r="C26" s="45"/>
      <c r="D26" s="44"/>
      <c r="E26" s="43"/>
      <c r="F26" s="43"/>
      <c r="G26" s="43"/>
      <c r="H26" s="44"/>
      <c r="I26" s="43"/>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A1:I1"/>
    <mergeCell ref="A2:I2"/>
  </mergeCells>
  <conditionalFormatting sqref="A5:I26">
    <cfRule type="expression" dxfId="2" priority="1">
      <formula>$H5="Pass"</formula>
    </cfRule>
  </conditionalFormatting>
  <conditionalFormatting sqref="A5:I26">
    <cfRule type="expression" dxfId="1" priority="2">
      <formula>$H5="Fail"</formula>
    </cfRule>
  </conditionalFormatting>
  <conditionalFormatting sqref="A5:I26">
    <cfRule type="expression" dxfId="0" priority="3">
      <formula>$H5="Blocked"</formula>
    </cfRule>
  </conditionalFormatting>
  <conditionalFormatting sqref="A5:I21">
    <cfRule type="expression" dxfId="2" priority="4">
      <formula>$H5="Pass"</formula>
    </cfRule>
  </conditionalFormatting>
  <conditionalFormatting sqref="A5:I21">
    <cfRule type="expression" dxfId="1" priority="5">
      <formula>$H5="Fail"</formula>
    </cfRule>
  </conditionalFormatting>
  <conditionalFormatting sqref="A5:I21">
    <cfRule type="expression" dxfId="0" priority="6">
      <formula>$H5="Blocked"</formula>
    </cfRule>
  </conditionalFormatting>
  <dataValidations>
    <dataValidation type="list" allowBlank="1" sqref="H5:H21">
      <formula1>"Pass,Fail,Blocked,Not Run"</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32.0"/>
    <col customWidth="1" min="3" max="3" width="10.0"/>
    <col customWidth="1" min="4" max="4" width="13.0"/>
    <col customWidth="1" min="5" max="5" width="30.0"/>
    <col customWidth="1" min="6" max="7" width="42.0"/>
    <col customWidth="1" min="8" max="8" width="12.0"/>
    <col customWidth="1" min="9" max="9" width="30.0"/>
  </cols>
  <sheetData>
    <row r="1" ht="31.5" customHeight="1">
      <c r="A1" s="35" t="s">
        <v>216</v>
      </c>
      <c r="B1" s="3"/>
      <c r="C1" s="3"/>
      <c r="D1" s="3"/>
      <c r="E1" s="3"/>
      <c r="F1" s="3"/>
      <c r="G1" s="3"/>
      <c r="H1" s="3"/>
      <c r="I1" s="4"/>
      <c r="J1" s="5"/>
      <c r="K1" s="5"/>
      <c r="L1" s="5"/>
      <c r="M1" s="5"/>
      <c r="N1" s="5"/>
      <c r="O1" s="5"/>
      <c r="P1" s="5"/>
      <c r="Q1" s="5"/>
      <c r="R1" s="5"/>
      <c r="S1" s="5"/>
      <c r="T1" s="5"/>
      <c r="U1" s="5"/>
      <c r="V1" s="5"/>
      <c r="W1" s="5"/>
      <c r="X1" s="5"/>
      <c r="Y1" s="5"/>
      <c r="Z1" s="5"/>
    </row>
    <row r="2" ht="15.75" customHeight="1">
      <c r="A2" s="36" t="s">
        <v>217</v>
      </c>
      <c r="B2" s="3"/>
      <c r="C2" s="3"/>
      <c r="D2" s="3"/>
      <c r="E2" s="3"/>
      <c r="F2" s="3"/>
      <c r="G2" s="3"/>
      <c r="H2" s="3"/>
      <c r="I2" s="4"/>
      <c r="J2" s="5"/>
      <c r="K2" s="5"/>
      <c r="L2" s="5"/>
      <c r="M2" s="5"/>
      <c r="N2" s="5"/>
      <c r="O2" s="5"/>
      <c r="P2" s="5"/>
      <c r="Q2" s="5"/>
      <c r="R2" s="5"/>
      <c r="S2" s="5"/>
      <c r="T2" s="5"/>
      <c r="U2" s="5"/>
      <c r="V2" s="5"/>
      <c r="W2" s="5"/>
      <c r="X2" s="5"/>
      <c r="Y2" s="5"/>
      <c r="Z2" s="5"/>
    </row>
    <row r="3" ht="7.5" customHeight="1">
      <c r="A3" s="5"/>
      <c r="B3" s="5"/>
      <c r="C3" s="5"/>
      <c r="D3" s="5"/>
      <c r="E3" s="5"/>
      <c r="F3" s="5"/>
      <c r="G3" s="5"/>
      <c r="H3" s="5"/>
      <c r="I3" s="5"/>
      <c r="J3" s="5"/>
      <c r="K3" s="5"/>
      <c r="L3" s="5"/>
      <c r="M3" s="5"/>
      <c r="N3" s="5"/>
      <c r="O3" s="5"/>
      <c r="P3" s="5"/>
      <c r="Q3" s="5"/>
      <c r="R3" s="5"/>
      <c r="S3" s="5"/>
      <c r="T3" s="5"/>
      <c r="U3" s="5"/>
      <c r="V3" s="5"/>
      <c r="W3" s="5"/>
      <c r="X3" s="5"/>
      <c r="Y3" s="5"/>
      <c r="Z3" s="5"/>
    </row>
    <row r="4" ht="21.75" customHeight="1">
      <c r="A4" s="37" t="s">
        <v>29</v>
      </c>
      <c r="B4" s="37" t="s">
        <v>30</v>
      </c>
      <c r="C4" s="37" t="s">
        <v>31</v>
      </c>
      <c r="D4" s="37" t="s">
        <v>32</v>
      </c>
      <c r="E4" s="37" t="s">
        <v>33</v>
      </c>
      <c r="F4" s="37" t="s">
        <v>34</v>
      </c>
      <c r="G4" s="37" t="s">
        <v>35</v>
      </c>
      <c r="H4" s="37" t="s">
        <v>36</v>
      </c>
      <c r="I4" s="37" t="s">
        <v>37</v>
      </c>
      <c r="J4" s="5"/>
      <c r="K4" s="5"/>
      <c r="L4" s="5"/>
      <c r="M4" s="5"/>
      <c r="N4" s="5"/>
      <c r="O4" s="5"/>
      <c r="P4" s="5"/>
      <c r="Q4" s="5"/>
      <c r="R4" s="5"/>
      <c r="S4" s="5"/>
      <c r="T4" s="5"/>
      <c r="U4" s="5"/>
      <c r="V4" s="5"/>
      <c r="W4" s="5"/>
      <c r="X4" s="5"/>
      <c r="Y4" s="5"/>
      <c r="Z4" s="5"/>
    </row>
    <row r="5">
      <c r="A5" s="38" t="s">
        <v>218</v>
      </c>
      <c r="B5" s="39" t="s">
        <v>219</v>
      </c>
      <c r="C5" s="40" t="s">
        <v>40</v>
      </c>
      <c r="D5" s="41" t="s">
        <v>41</v>
      </c>
      <c r="E5" s="39" t="s">
        <v>220</v>
      </c>
      <c r="F5" s="39" t="s">
        <v>221</v>
      </c>
      <c r="G5" s="39" t="s">
        <v>222</v>
      </c>
      <c r="H5" s="41" t="s">
        <v>45</v>
      </c>
      <c r="I5" s="39" t="s">
        <v>223</v>
      </c>
      <c r="J5" s="5"/>
      <c r="K5" s="5"/>
      <c r="L5" s="5"/>
      <c r="M5" s="5"/>
      <c r="N5" s="5"/>
      <c r="O5" s="5"/>
      <c r="P5" s="5"/>
      <c r="Q5" s="5"/>
      <c r="R5" s="5"/>
      <c r="S5" s="5"/>
      <c r="T5" s="5"/>
      <c r="U5" s="5"/>
      <c r="V5" s="5"/>
      <c r="W5" s="5"/>
      <c r="X5" s="5"/>
      <c r="Y5" s="5"/>
      <c r="Z5" s="5"/>
    </row>
    <row r="6">
      <c r="A6" s="42" t="s">
        <v>224</v>
      </c>
      <c r="B6" s="43" t="s">
        <v>225</v>
      </c>
      <c r="C6" s="40" t="s">
        <v>40</v>
      </c>
      <c r="D6" s="44" t="s">
        <v>41</v>
      </c>
      <c r="E6" s="43" t="s">
        <v>226</v>
      </c>
      <c r="F6" s="43" t="s">
        <v>227</v>
      </c>
      <c r="G6" s="43" t="s">
        <v>228</v>
      </c>
      <c r="H6" s="44" t="s">
        <v>45</v>
      </c>
      <c r="I6" s="43"/>
      <c r="J6" s="5"/>
      <c r="K6" s="5"/>
      <c r="L6" s="5"/>
      <c r="M6" s="5"/>
      <c r="N6" s="5"/>
      <c r="O6" s="5"/>
      <c r="P6" s="5"/>
      <c r="Q6" s="5"/>
      <c r="R6" s="5"/>
      <c r="S6" s="5"/>
      <c r="T6" s="5"/>
      <c r="U6" s="5"/>
      <c r="V6" s="5"/>
      <c r="W6" s="5"/>
      <c r="X6" s="5"/>
      <c r="Y6" s="5"/>
      <c r="Z6" s="5"/>
    </row>
    <row r="7">
      <c r="A7" s="38" t="s">
        <v>229</v>
      </c>
      <c r="B7" s="39" t="s">
        <v>230</v>
      </c>
      <c r="C7" s="47" t="s">
        <v>40</v>
      </c>
      <c r="D7" s="41" t="s">
        <v>41</v>
      </c>
      <c r="E7" s="39" t="s">
        <v>231</v>
      </c>
      <c r="F7" s="39" t="s">
        <v>232</v>
      </c>
      <c r="G7" s="39" t="s">
        <v>233</v>
      </c>
      <c r="H7" s="41" t="s">
        <v>45</v>
      </c>
      <c r="I7" s="39" t="s">
        <v>234</v>
      </c>
      <c r="J7" s="5"/>
      <c r="K7" s="5"/>
      <c r="L7" s="5"/>
      <c r="M7" s="5"/>
      <c r="N7" s="5"/>
      <c r="O7" s="5"/>
      <c r="P7" s="5"/>
      <c r="Q7" s="5"/>
      <c r="R7" s="5"/>
      <c r="S7" s="5"/>
      <c r="T7" s="5"/>
      <c r="U7" s="5"/>
      <c r="V7" s="5"/>
      <c r="W7" s="5"/>
      <c r="X7" s="5"/>
      <c r="Y7" s="5"/>
      <c r="Z7" s="5"/>
    </row>
    <row r="8">
      <c r="A8" s="42" t="s">
        <v>235</v>
      </c>
      <c r="B8" s="43" t="s">
        <v>236</v>
      </c>
      <c r="C8" s="40" t="s">
        <v>40</v>
      </c>
      <c r="D8" s="44" t="s">
        <v>41</v>
      </c>
      <c r="E8" s="43" t="s">
        <v>237</v>
      </c>
      <c r="F8" s="43" t="s">
        <v>238</v>
      </c>
      <c r="G8" s="43" t="s">
        <v>239</v>
      </c>
      <c r="H8" s="44" t="s">
        <v>45</v>
      </c>
      <c r="I8" s="43" t="s">
        <v>240</v>
      </c>
      <c r="J8" s="5"/>
      <c r="K8" s="5"/>
      <c r="L8" s="5"/>
      <c r="M8" s="5"/>
      <c r="N8" s="5"/>
      <c r="O8" s="5"/>
      <c r="P8" s="5"/>
      <c r="Q8" s="5"/>
      <c r="R8" s="5"/>
      <c r="S8" s="5"/>
      <c r="T8" s="5"/>
      <c r="U8" s="5"/>
      <c r="V8" s="5"/>
      <c r="W8" s="5"/>
      <c r="X8" s="5"/>
      <c r="Y8" s="5"/>
      <c r="Z8" s="5"/>
    </row>
    <row r="9">
      <c r="A9" s="38" t="s">
        <v>241</v>
      </c>
      <c r="B9" s="39" t="s">
        <v>242</v>
      </c>
      <c r="C9" s="45" t="s">
        <v>53</v>
      </c>
      <c r="D9" s="41" t="s">
        <v>41</v>
      </c>
      <c r="E9" s="39" t="s">
        <v>226</v>
      </c>
      <c r="F9" s="39" t="s">
        <v>243</v>
      </c>
      <c r="G9" s="39" t="s">
        <v>244</v>
      </c>
      <c r="H9" s="41" t="s">
        <v>45</v>
      </c>
      <c r="I9" s="39" t="s">
        <v>245</v>
      </c>
      <c r="J9" s="5"/>
      <c r="K9" s="5"/>
      <c r="L9" s="5"/>
      <c r="M9" s="5"/>
      <c r="N9" s="5"/>
      <c r="O9" s="5"/>
      <c r="P9" s="5"/>
      <c r="Q9" s="5"/>
      <c r="R9" s="5"/>
      <c r="S9" s="5"/>
      <c r="T9" s="5"/>
      <c r="U9" s="5"/>
      <c r="V9" s="5"/>
      <c r="W9" s="5"/>
      <c r="X9" s="5"/>
      <c r="Y9" s="5"/>
      <c r="Z9" s="5"/>
    </row>
    <row r="10">
      <c r="A10" s="42" t="s">
        <v>246</v>
      </c>
      <c r="B10" s="43" t="s">
        <v>247</v>
      </c>
      <c r="C10" s="45" t="s">
        <v>53</v>
      </c>
      <c r="D10" s="44" t="s">
        <v>41</v>
      </c>
      <c r="E10" s="43" t="s">
        <v>248</v>
      </c>
      <c r="F10" s="43" t="s">
        <v>249</v>
      </c>
      <c r="G10" s="43" t="s">
        <v>250</v>
      </c>
      <c r="H10" s="44" t="s">
        <v>45</v>
      </c>
      <c r="I10" s="43"/>
      <c r="J10" s="5"/>
      <c r="K10" s="5"/>
      <c r="L10" s="5"/>
      <c r="M10" s="5"/>
      <c r="N10" s="5"/>
      <c r="O10" s="5"/>
      <c r="P10" s="5"/>
      <c r="Q10" s="5"/>
      <c r="R10" s="5"/>
      <c r="S10" s="5"/>
      <c r="T10" s="5"/>
      <c r="U10" s="5"/>
      <c r="V10" s="5"/>
      <c r="W10" s="5"/>
      <c r="X10" s="5"/>
      <c r="Y10" s="5"/>
      <c r="Z10" s="5"/>
    </row>
    <row r="11">
      <c r="A11" s="38" t="s">
        <v>251</v>
      </c>
      <c r="B11" s="39" t="s">
        <v>252</v>
      </c>
      <c r="C11" s="40" t="s">
        <v>40</v>
      </c>
      <c r="D11" s="41" t="s">
        <v>41</v>
      </c>
      <c r="E11" s="39" t="s">
        <v>253</v>
      </c>
      <c r="F11" s="39" t="s">
        <v>254</v>
      </c>
      <c r="G11" s="39" t="s">
        <v>255</v>
      </c>
      <c r="H11" s="41" t="s">
        <v>45</v>
      </c>
      <c r="I11" s="39" t="s">
        <v>256</v>
      </c>
      <c r="J11" s="5"/>
      <c r="K11" s="5"/>
      <c r="L11" s="5"/>
      <c r="M11" s="5"/>
      <c r="N11" s="5"/>
      <c r="O11" s="5"/>
      <c r="P11" s="5"/>
      <c r="Q11" s="5"/>
      <c r="R11" s="5"/>
      <c r="S11" s="5"/>
      <c r="T11" s="5"/>
      <c r="U11" s="5"/>
      <c r="V11" s="5"/>
      <c r="W11" s="5"/>
      <c r="X11" s="5"/>
      <c r="Y11" s="5"/>
      <c r="Z11" s="5"/>
    </row>
    <row r="12">
      <c r="A12" s="42" t="s">
        <v>257</v>
      </c>
      <c r="B12" s="43" t="s">
        <v>258</v>
      </c>
      <c r="C12" s="40" t="s">
        <v>40</v>
      </c>
      <c r="D12" s="44" t="s">
        <v>41</v>
      </c>
      <c r="E12" s="43" t="s">
        <v>259</v>
      </c>
      <c r="F12" s="43" t="s">
        <v>260</v>
      </c>
      <c r="G12" s="43" t="s">
        <v>261</v>
      </c>
      <c r="H12" s="44" t="s">
        <v>45</v>
      </c>
      <c r="I12" s="43"/>
      <c r="J12" s="5"/>
      <c r="K12" s="5"/>
      <c r="L12" s="5"/>
      <c r="M12" s="5"/>
      <c r="N12" s="5"/>
      <c r="O12" s="5"/>
      <c r="P12" s="5"/>
      <c r="Q12" s="5"/>
      <c r="R12" s="5"/>
      <c r="S12" s="5"/>
      <c r="T12" s="5"/>
      <c r="U12" s="5"/>
      <c r="V12" s="5"/>
      <c r="W12" s="5"/>
      <c r="X12" s="5"/>
      <c r="Y12" s="5"/>
      <c r="Z12" s="5"/>
    </row>
    <row r="13">
      <c r="A13" s="38" t="s">
        <v>262</v>
      </c>
      <c r="B13" s="39" t="s">
        <v>263</v>
      </c>
      <c r="C13" s="40" t="s">
        <v>40</v>
      </c>
      <c r="D13" s="41" t="s">
        <v>41</v>
      </c>
      <c r="E13" s="39" t="s">
        <v>264</v>
      </c>
      <c r="F13" s="39" t="s">
        <v>265</v>
      </c>
      <c r="G13" s="39" t="s">
        <v>266</v>
      </c>
      <c r="H13" s="41" t="s">
        <v>45</v>
      </c>
      <c r="I13" s="39" t="s">
        <v>267</v>
      </c>
      <c r="J13" s="5"/>
      <c r="K13" s="5"/>
      <c r="L13" s="5"/>
      <c r="M13" s="5"/>
      <c r="N13" s="5"/>
      <c r="O13" s="5"/>
      <c r="P13" s="5"/>
      <c r="Q13" s="5"/>
      <c r="R13" s="5"/>
      <c r="S13" s="5"/>
      <c r="T13" s="5"/>
      <c r="U13" s="5"/>
      <c r="V13" s="5"/>
      <c r="W13" s="5"/>
      <c r="X13" s="5"/>
      <c r="Y13" s="5"/>
      <c r="Z13" s="5"/>
    </row>
    <row r="14">
      <c r="A14" s="42" t="s">
        <v>268</v>
      </c>
      <c r="B14" s="43" t="s">
        <v>269</v>
      </c>
      <c r="C14" s="40" t="s">
        <v>40</v>
      </c>
      <c r="D14" s="44" t="s">
        <v>41</v>
      </c>
      <c r="E14" s="43" t="s">
        <v>270</v>
      </c>
      <c r="F14" s="43" t="s">
        <v>271</v>
      </c>
      <c r="G14" s="43" t="s">
        <v>272</v>
      </c>
      <c r="H14" s="44" t="s">
        <v>45</v>
      </c>
      <c r="I14" s="43"/>
      <c r="J14" s="5"/>
      <c r="K14" s="5"/>
      <c r="L14" s="5"/>
      <c r="M14" s="5"/>
      <c r="N14" s="5"/>
      <c r="O14" s="5"/>
      <c r="P14" s="5"/>
      <c r="Q14" s="5"/>
      <c r="R14" s="5"/>
      <c r="S14" s="5"/>
      <c r="T14" s="5"/>
      <c r="U14" s="5"/>
      <c r="V14" s="5"/>
      <c r="W14" s="5"/>
      <c r="X14" s="5"/>
      <c r="Y14" s="5"/>
      <c r="Z14" s="5"/>
    </row>
    <row r="15">
      <c r="A15" s="38" t="s">
        <v>273</v>
      </c>
      <c r="B15" s="39" t="s">
        <v>274</v>
      </c>
      <c r="C15" s="45" t="s">
        <v>53</v>
      </c>
      <c r="D15" s="41" t="s">
        <v>41</v>
      </c>
      <c r="E15" s="39" t="s">
        <v>275</v>
      </c>
      <c r="F15" s="39" t="s">
        <v>249</v>
      </c>
      <c r="G15" s="39" t="s">
        <v>276</v>
      </c>
      <c r="H15" s="41" t="s">
        <v>45</v>
      </c>
      <c r="I15" s="39"/>
      <c r="J15" s="5"/>
      <c r="K15" s="5"/>
      <c r="L15" s="5"/>
      <c r="M15" s="5"/>
      <c r="N15" s="5"/>
      <c r="O15" s="5"/>
      <c r="P15" s="5"/>
      <c r="Q15" s="5"/>
      <c r="R15" s="5"/>
      <c r="S15" s="5"/>
      <c r="T15" s="5"/>
      <c r="U15" s="5"/>
      <c r="V15" s="5"/>
      <c r="W15" s="5"/>
      <c r="X15" s="5"/>
      <c r="Y15" s="5"/>
      <c r="Z15" s="5"/>
    </row>
    <row r="16">
      <c r="A16" s="42" t="s">
        <v>277</v>
      </c>
      <c r="B16" s="43" t="s">
        <v>278</v>
      </c>
      <c r="C16" s="45" t="s">
        <v>53</v>
      </c>
      <c r="D16" s="44" t="s">
        <v>41</v>
      </c>
      <c r="E16" s="43" t="s">
        <v>279</v>
      </c>
      <c r="F16" s="43" t="s">
        <v>280</v>
      </c>
      <c r="G16" s="39" t="s">
        <v>244</v>
      </c>
      <c r="H16" s="44" t="s">
        <v>45</v>
      </c>
      <c r="I16" s="43" t="s">
        <v>281</v>
      </c>
      <c r="J16" s="5"/>
      <c r="K16" s="5"/>
      <c r="L16" s="5"/>
      <c r="M16" s="5"/>
      <c r="N16" s="5"/>
      <c r="O16" s="5"/>
      <c r="P16" s="5"/>
      <c r="Q16" s="5"/>
      <c r="R16" s="5"/>
      <c r="S16" s="5"/>
      <c r="T16" s="5"/>
      <c r="U16" s="5"/>
      <c r="V16" s="5"/>
      <c r="W16" s="5"/>
      <c r="X16" s="5"/>
      <c r="Y16" s="5"/>
      <c r="Z16" s="5"/>
    </row>
    <row r="17">
      <c r="A17" s="38"/>
      <c r="B17" s="48"/>
      <c r="C17" s="40"/>
      <c r="D17" s="41"/>
      <c r="E17" s="39"/>
      <c r="F17" s="39"/>
      <c r="G17" s="39"/>
      <c r="H17" s="41"/>
      <c r="I17" s="39"/>
      <c r="J17" s="5"/>
      <c r="K17" s="5"/>
      <c r="L17" s="5"/>
      <c r="M17" s="5"/>
      <c r="N17" s="5"/>
      <c r="O17" s="5"/>
      <c r="P17" s="5"/>
      <c r="Q17" s="5"/>
      <c r="R17" s="5"/>
      <c r="S17" s="5"/>
      <c r="T17" s="5"/>
      <c r="U17" s="5"/>
      <c r="V17" s="5"/>
      <c r="W17" s="5"/>
      <c r="X17" s="5"/>
      <c r="Y17" s="5"/>
      <c r="Z17" s="5"/>
    </row>
    <row r="18">
      <c r="A18" s="42"/>
      <c r="B18" s="43"/>
      <c r="C18" s="45"/>
      <c r="D18" s="44"/>
      <c r="E18" s="43"/>
      <c r="F18" s="43"/>
      <c r="G18" s="39"/>
      <c r="H18" s="44"/>
      <c r="I18" s="43"/>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A1:I1"/>
    <mergeCell ref="A2:I2"/>
  </mergeCells>
  <conditionalFormatting sqref="A5:I18">
    <cfRule type="expression" dxfId="2" priority="1">
      <formula>$H5="Pass"</formula>
    </cfRule>
  </conditionalFormatting>
  <conditionalFormatting sqref="A5:I18">
    <cfRule type="expression" dxfId="1" priority="2">
      <formula>$H5="Fail"</formula>
    </cfRule>
  </conditionalFormatting>
  <conditionalFormatting sqref="A5:I18">
    <cfRule type="expression" dxfId="0" priority="3">
      <formula>$H5="Blocked"</formula>
    </cfRule>
  </conditionalFormatting>
  <dataValidations>
    <dataValidation type="list" allowBlank="1" sqref="H5:H18">
      <formula1>"Pass,Fail,Blocked,Not Run"</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32.0"/>
    <col customWidth="1" min="3" max="3" width="10.0"/>
    <col customWidth="1" min="4" max="4" width="13.0"/>
    <col customWidth="1" min="5" max="5" width="30.0"/>
    <col customWidth="1" min="6" max="7" width="42.0"/>
    <col customWidth="1" min="8" max="8" width="12.0"/>
    <col customWidth="1" min="9" max="9" width="30.0"/>
  </cols>
  <sheetData>
    <row r="1" ht="31.5" customHeight="1">
      <c r="A1" s="35" t="s">
        <v>282</v>
      </c>
      <c r="B1" s="3"/>
      <c r="C1" s="3"/>
      <c r="D1" s="3"/>
      <c r="E1" s="3"/>
      <c r="F1" s="3"/>
      <c r="G1" s="3"/>
      <c r="H1" s="3"/>
      <c r="I1" s="4"/>
      <c r="J1" s="5"/>
      <c r="K1" s="5"/>
      <c r="L1" s="5"/>
      <c r="M1" s="5"/>
      <c r="N1" s="5"/>
      <c r="O1" s="5"/>
      <c r="P1" s="5"/>
      <c r="Q1" s="5"/>
      <c r="R1" s="5"/>
      <c r="S1" s="5"/>
      <c r="T1" s="5"/>
      <c r="U1" s="5"/>
      <c r="V1" s="5"/>
      <c r="W1" s="5"/>
      <c r="X1" s="5"/>
      <c r="Y1" s="5"/>
      <c r="Z1" s="5"/>
    </row>
    <row r="2" ht="15.75" customHeight="1">
      <c r="A2" s="36" t="s">
        <v>283</v>
      </c>
      <c r="B2" s="3"/>
      <c r="C2" s="3"/>
      <c r="D2" s="3"/>
      <c r="E2" s="3"/>
      <c r="F2" s="3"/>
      <c r="G2" s="3"/>
      <c r="H2" s="3"/>
      <c r="I2" s="4"/>
      <c r="J2" s="5"/>
      <c r="K2" s="5"/>
      <c r="L2" s="5"/>
      <c r="M2" s="5"/>
      <c r="N2" s="5"/>
      <c r="O2" s="5"/>
      <c r="P2" s="5"/>
      <c r="Q2" s="5"/>
      <c r="R2" s="5"/>
      <c r="S2" s="5"/>
      <c r="T2" s="5"/>
      <c r="U2" s="5"/>
      <c r="V2" s="5"/>
      <c r="W2" s="5"/>
      <c r="X2" s="5"/>
      <c r="Y2" s="5"/>
      <c r="Z2" s="5"/>
    </row>
    <row r="3" ht="7.5" customHeight="1">
      <c r="A3" s="5"/>
      <c r="B3" s="5"/>
      <c r="C3" s="5"/>
      <c r="D3" s="5"/>
      <c r="E3" s="5"/>
      <c r="F3" s="5"/>
      <c r="G3" s="5"/>
      <c r="H3" s="5"/>
      <c r="I3" s="5"/>
      <c r="J3" s="5"/>
      <c r="K3" s="5"/>
      <c r="L3" s="5"/>
      <c r="M3" s="5"/>
      <c r="N3" s="5"/>
      <c r="O3" s="5"/>
      <c r="P3" s="5"/>
      <c r="Q3" s="5"/>
      <c r="R3" s="5"/>
      <c r="S3" s="5"/>
      <c r="T3" s="5"/>
      <c r="U3" s="5"/>
      <c r="V3" s="5"/>
      <c r="W3" s="5"/>
      <c r="X3" s="5"/>
      <c r="Y3" s="5"/>
      <c r="Z3" s="5"/>
    </row>
    <row r="4" ht="21.75" customHeight="1">
      <c r="A4" s="37" t="s">
        <v>29</v>
      </c>
      <c r="B4" s="37" t="s">
        <v>30</v>
      </c>
      <c r="C4" s="37" t="s">
        <v>31</v>
      </c>
      <c r="D4" s="37" t="s">
        <v>32</v>
      </c>
      <c r="E4" s="37" t="s">
        <v>33</v>
      </c>
      <c r="F4" s="37" t="s">
        <v>34</v>
      </c>
      <c r="G4" s="37" t="s">
        <v>35</v>
      </c>
      <c r="H4" s="37" t="s">
        <v>36</v>
      </c>
      <c r="I4" s="37" t="s">
        <v>37</v>
      </c>
      <c r="J4" s="5"/>
      <c r="K4" s="5"/>
      <c r="L4" s="5"/>
      <c r="M4" s="5"/>
      <c r="N4" s="5"/>
      <c r="O4" s="5"/>
      <c r="P4" s="5"/>
      <c r="Q4" s="5"/>
      <c r="R4" s="5"/>
      <c r="S4" s="5"/>
      <c r="T4" s="5"/>
      <c r="U4" s="5"/>
      <c r="V4" s="5"/>
      <c r="W4" s="5"/>
      <c r="X4" s="5"/>
      <c r="Y4" s="5"/>
      <c r="Z4" s="5"/>
    </row>
    <row r="5">
      <c r="A5" s="42" t="s">
        <v>284</v>
      </c>
      <c r="B5" s="43" t="s">
        <v>285</v>
      </c>
      <c r="C5" s="40" t="s">
        <v>40</v>
      </c>
      <c r="D5" s="44" t="s">
        <v>41</v>
      </c>
      <c r="E5" s="43" t="s">
        <v>286</v>
      </c>
      <c r="F5" s="43" t="s">
        <v>287</v>
      </c>
      <c r="G5" s="43" t="s">
        <v>288</v>
      </c>
      <c r="H5" s="44" t="s">
        <v>45</v>
      </c>
      <c r="I5" s="43"/>
      <c r="J5" s="5"/>
      <c r="K5" s="5"/>
      <c r="L5" s="5"/>
      <c r="M5" s="5"/>
      <c r="N5" s="5"/>
      <c r="O5" s="5"/>
      <c r="P5" s="5"/>
      <c r="Q5" s="5"/>
      <c r="R5" s="5"/>
      <c r="S5" s="5"/>
      <c r="T5" s="5"/>
      <c r="U5" s="5"/>
      <c r="V5" s="5"/>
      <c r="W5" s="5"/>
      <c r="X5" s="5"/>
      <c r="Y5" s="5"/>
      <c r="Z5" s="5"/>
    </row>
    <row r="6">
      <c r="A6" s="38" t="s">
        <v>289</v>
      </c>
      <c r="B6" s="39" t="s">
        <v>290</v>
      </c>
      <c r="C6" s="40" t="s">
        <v>40</v>
      </c>
      <c r="D6" s="41" t="s">
        <v>41</v>
      </c>
      <c r="E6" s="39" t="s">
        <v>291</v>
      </c>
      <c r="F6" s="39" t="s">
        <v>292</v>
      </c>
      <c r="G6" s="39" t="s">
        <v>288</v>
      </c>
      <c r="H6" s="41" t="s">
        <v>45</v>
      </c>
      <c r="I6" s="39"/>
      <c r="J6" s="5"/>
      <c r="K6" s="5"/>
      <c r="L6" s="5"/>
      <c r="M6" s="5"/>
      <c r="N6" s="5"/>
      <c r="O6" s="5"/>
      <c r="P6" s="5"/>
      <c r="Q6" s="5"/>
      <c r="R6" s="5"/>
      <c r="S6" s="5"/>
      <c r="T6" s="5"/>
      <c r="U6" s="5"/>
      <c r="V6" s="5"/>
      <c r="W6" s="5"/>
      <c r="X6" s="5"/>
      <c r="Y6" s="5"/>
      <c r="Z6" s="5"/>
    </row>
    <row r="7">
      <c r="A7" s="42" t="s">
        <v>293</v>
      </c>
      <c r="B7" s="43" t="s">
        <v>294</v>
      </c>
      <c r="C7" s="40" t="s">
        <v>40</v>
      </c>
      <c r="D7" s="44" t="s">
        <v>41</v>
      </c>
      <c r="E7" s="43" t="s">
        <v>295</v>
      </c>
      <c r="F7" s="43" t="s">
        <v>296</v>
      </c>
      <c r="G7" s="43" t="s">
        <v>288</v>
      </c>
      <c r="H7" s="44" t="s">
        <v>45</v>
      </c>
      <c r="I7" s="43"/>
      <c r="J7" s="5"/>
      <c r="K7" s="5"/>
      <c r="L7" s="5"/>
      <c r="M7" s="5"/>
      <c r="N7" s="5"/>
      <c r="O7" s="5"/>
      <c r="P7" s="5"/>
      <c r="Q7" s="5"/>
      <c r="R7" s="5"/>
      <c r="S7" s="5"/>
      <c r="T7" s="5"/>
      <c r="U7" s="5"/>
      <c r="V7" s="5"/>
      <c r="W7" s="5"/>
      <c r="X7" s="5"/>
      <c r="Y7" s="5"/>
      <c r="Z7" s="5"/>
    </row>
    <row r="8">
      <c r="A8" s="38" t="s">
        <v>297</v>
      </c>
      <c r="B8" s="39" t="s">
        <v>298</v>
      </c>
      <c r="C8" s="40" t="s">
        <v>40</v>
      </c>
      <c r="D8" s="41" t="s">
        <v>41</v>
      </c>
      <c r="E8" s="39" t="s">
        <v>299</v>
      </c>
      <c r="F8" s="39" t="s">
        <v>300</v>
      </c>
      <c r="G8" s="39" t="s">
        <v>301</v>
      </c>
      <c r="H8" s="41" t="s">
        <v>45</v>
      </c>
      <c r="I8" s="39"/>
      <c r="J8" s="5"/>
      <c r="K8" s="5"/>
      <c r="L8" s="5"/>
      <c r="M8" s="5"/>
      <c r="N8" s="5"/>
      <c r="O8" s="5"/>
      <c r="P8" s="5"/>
      <c r="Q8" s="5"/>
      <c r="R8" s="5"/>
      <c r="S8" s="5"/>
      <c r="T8" s="5"/>
      <c r="U8" s="5"/>
      <c r="V8" s="5"/>
      <c r="W8" s="5"/>
      <c r="X8" s="5"/>
      <c r="Y8" s="5"/>
      <c r="Z8" s="5"/>
    </row>
    <row r="9">
      <c r="A9" s="42" t="s">
        <v>302</v>
      </c>
      <c r="B9" s="43" t="s">
        <v>303</v>
      </c>
      <c r="C9" s="45" t="s">
        <v>53</v>
      </c>
      <c r="D9" s="44" t="s">
        <v>41</v>
      </c>
      <c r="E9" s="43" t="s">
        <v>304</v>
      </c>
      <c r="F9" s="43" t="s">
        <v>305</v>
      </c>
      <c r="G9" s="43" t="s">
        <v>306</v>
      </c>
      <c r="H9" s="44" t="s">
        <v>45</v>
      </c>
      <c r="I9" s="43" t="s">
        <v>307</v>
      </c>
      <c r="J9" s="5"/>
      <c r="K9" s="5"/>
      <c r="L9" s="5"/>
      <c r="M9" s="5"/>
      <c r="N9" s="5"/>
      <c r="O9" s="5"/>
      <c r="P9" s="5"/>
      <c r="Q9" s="5"/>
      <c r="R9" s="5"/>
      <c r="S9" s="5"/>
      <c r="T9" s="5"/>
      <c r="U9" s="5"/>
      <c r="V9" s="5"/>
      <c r="W9" s="5"/>
      <c r="X9" s="5"/>
      <c r="Y9" s="5"/>
      <c r="Z9" s="5"/>
    </row>
    <row r="10">
      <c r="A10" s="38" t="s">
        <v>308</v>
      </c>
      <c r="B10" s="39" t="s">
        <v>309</v>
      </c>
      <c r="C10" s="40" t="s">
        <v>40</v>
      </c>
      <c r="D10" s="41" t="s">
        <v>41</v>
      </c>
      <c r="E10" s="39" t="s">
        <v>310</v>
      </c>
      <c r="F10" s="39" t="s">
        <v>311</v>
      </c>
      <c r="G10" s="39" t="s">
        <v>312</v>
      </c>
      <c r="H10" s="41" t="s">
        <v>45</v>
      </c>
      <c r="I10" s="39" t="s">
        <v>313</v>
      </c>
      <c r="J10" s="5"/>
      <c r="K10" s="5"/>
      <c r="L10" s="5"/>
      <c r="M10" s="5"/>
      <c r="N10" s="5"/>
      <c r="O10" s="5"/>
      <c r="P10" s="5"/>
      <c r="Q10" s="5"/>
      <c r="R10" s="5"/>
      <c r="S10" s="5"/>
      <c r="T10" s="5"/>
      <c r="U10" s="5"/>
      <c r="V10" s="5"/>
      <c r="W10" s="5"/>
      <c r="X10" s="5"/>
      <c r="Y10" s="5"/>
      <c r="Z10" s="5"/>
    </row>
    <row r="11">
      <c r="A11" s="42" t="s">
        <v>314</v>
      </c>
      <c r="B11" s="43" t="s">
        <v>315</v>
      </c>
      <c r="C11" s="40" t="s">
        <v>40</v>
      </c>
      <c r="D11" s="44" t="s">
        <v>41</v>
      </c>
      <c r="E11" s="43" t="s">
        <v>316</v>
      </c>
      <c r="F11" s="43" t="s">
        <v>317</v>
      </c>
      <c r="G11" s="43" t="s">
        <v>318</v>
      </c>
      <c r="H11" s="44" t="s">
        <v>45</v>
      </c>
      <c r="I11" s="43" t="s">
        <v>319</v>
      </c>
      <c r="J11" s="5"/>
      <c r="K11" s="5"/>
      <c r="L11" s="5"/>
      <c r="M11" s="5"/>
      <c r="N11" s="5"/>
      <c r="O11" s="5"/>
      <c r="P11" s="5"/>
      <c r="Q11" s="5"/>
      <c r="R11" s="5"/>
      <c r="S11" s="5"/>
      <c r="T11" s="5"/>
      <c r="U11" s="5"/>
      <c r="V11" s="5"/>
      <c r="W11" s="5"/>
      <c r="X11" s="5"/>
      <c r="Y11" s="5"/>
      <c r="Z11" s="5"/>
    </row>
    <row r="12">
      <c r="A12" s="38" t="s">
        <v>320</v>
      </c>
      <c r="B12" s="39" t="s">
        <v>321</v>
      </c>
      <c r="C12" s="40" t="s">
        <v>40</v>
      </c>
      <c r="D12" s="41" t="s">
        <v>41</v>
      </c>
      <c r="E12" s="39" t="s">
        <v>322</v>
      </c>
      <c r="F12" s="39" t="s">
        <v>323</v>
      </c>
      <c r="G12" s="39" t="s">
        <v>324</v>
      </c>
      <c r="H12" s="41" t="s">
        <v>45</v>
      </c>
      <c r="I12" s="39" t="s">
        <v>325</v>
      </c>
      <c r="J12" s="5"/>
      <c r="K12" s="5"/>
      <c r="L12" s="5"/>
      <c r="M12" s="5"/>
      <c r="N12" s="5"/>
      <c r="O12" s="5"/>
      <c r="P12" s="5"/>
      <c r="Q12" s="5"/>
      <c r="R12" s="5"/>
      <c r="S12" s="5"/>
      <c r="T12" s="5"/>
      <c r="U12" s="5"/>
      <c r="V12" s="5"/>
      <c r="W12" s="5"/>
      <c r="X12" s="5"/>
      <c r="Y12" s="5"/>
      <c r="Z12" s="5"/>
    </row>
    <row r="13">
      <c r="A13" s="42" t="s">
        <v>326</v>
      </c>
      <c r="B13" s="43" t="s">
        <v>327</v>
      </c>
      <c r="C13" s="45" t="s">
        <v>53</v>
      </c>
      <c r="D13" s="44" t="s">
        <v>41</v>
      </c>
      <c r="E13" s="43" t="s">
        <v>328</v>
      </c>
      <c r="F13" s="43" t="s">
        <v>329</v>
      </c>
      <c r="G13" s="43" t="s">
        <v>330</v>
      </c>
      <c r="H13" s="44" t="s">
        <v>45</v>
      </c>
      <c r="I13" s="43" t="s">
        <v>331</v>
      </c>
      <c r="J13" s="5"/>
      <c r="K13" s="5"/>
      <c r="L13" s="5"/>
      <c r="M13" s="5"/>
      <c r="N13" s="5"/>
      <c r="O13" s="5"/>
      <c r="P13" s="5"/>
      <c r="Q13" s="5"/>
      <c r="R13" s="5"/>
      <c r="S13" s="5"/>
      <c r="T13" s="5"/>
      <c r="U13" s="5"/>
      <c r="V13" s="5"/>
      <c r="W13" s="5"/>
      <c r="X13" s="5"/>
      <c r="Y13" s="5"/>
      <c r="Z13" s="5"/>
    </row>
    <row r="14">
      <c r="A14" s="38" t="s">
        <v>332</v>
      </c>
      <c r="B14" s="39" t="s">
        <v>333</v>
      </c>
      <c r="C14" s="45" t="s">
        <v>53</v>
      </c>
      <c r="D14" s="41" t="s">
        <v>41</v>
      </c>
      <c r="E14" s="39" t="s">
        <v>334</v>
      </c>
      <c r="F14" s="39" t="s">
        <v>335</v>
      </c>
      <c r="G14" s="39" t="s">
        <v>336</v>
      </c>
      <c r="H14" s="41" t="s">
        <v>45</v>
      </c>
      <c r="I14" s="39"/>
      <c r="J14" s="5"/>
      <c r="K14" s="5"/>
      <c r="L14" s="5"/>
      <c r="M14" s="5"/>
      <c r="N14" s="5"/>
      <c r="O14" s="5"/>
      <c r="P14" s="5"/>
      <c r="Q14" s="5"/>
      <c r="R14" s="5"/>
      <c r="S14" s="5"/>
      <c r="T14" s="5"/>
      <c r="U14" s="5"/>
      <c r="V14" s="5"/>
      <c r="W14" s="5"/>
      <c r="X14" s="5"/>
      <c r="Y14" s="5"/>
      <c r="Z14" s="5"/>
    </row>
    <row r="15">
      <c r="A15" s="42" t="s">
        <v>337</v>
      </c>
      <c r="B15" s="43" t="s">
        <v>338</v>
      </c>
      <c r="C15" s="40" t="s">
        <v>40</v>
      </c>
      <c r="D15" s="44" t="s">
        <v>41</v>
      </c>
      <c r="E15" s="43" t="s">
        <v>339</v>
      </c>
      <c r="F15" s="43" t="s">
        <v>340</v>
      </c>
      <c r="G15" s="43" t="s">
        <v>341</v>
      </c>
      <c r="H15" s="44" t="s">
        <v>45</v>
      </c>
      <c r="I15" s="43" t="s">
        <v>342</v>
      </c>
      <c r="J15" s="5"/>
      <c r="K15" s="5"/>
      <c r="L15" s="5"/>
      <c r="M15" s="5"/>
      <c r="N15" s="5"/>
      <c r="O15" s="5"/>
      <c r="P15" s="5"/>
      <c r="Q15" s="5"/>
      <c r="R15" s="5"/>
      <c r="S15" s="5"/>
      <c r="T15" s="5"/>
      <c r="U15" s="5"/>
      <c r="V15" s="5"/>
      <c r="W15" s="5"/>
      <c r="X15" s="5"/>
      <c r="Y15" s="5"/>
      <c r="Z15" s="5"/>
    </row>
    <row r="16">
      <c r="A16" s="38" t="s">
        <v>343</v>
      </c>
      <c r="B16" s="39" t="s">
        <v>344</v>
      </c>
      <c r="C16" s="40" t="s">
        <v>40</v>
      </c>
      <c r="D16" s="41" t="s">
        <v>41</v>
      </c>
      <c r="E16" s="39" t="s">
        <v>345</v>
      </c>
      <c r="F16" s="39" t="s">
        <v>346</v>
      </c>
      <c r="G16" s="39" t="s">
        <v>347</v>
      </c>
      <c r="H16" s="41" t="s">
        <v>45</v>
      </c>
      <c r="I16" s="39"/>
      <c r="J16" s="5"/>
      <c r="K16" s="5"/>
      <c r="L16" s="5"/>
      <c r="M16" s="5"/>
      <c r="N16" s="5"/>
      <c r="O16" s="5"/>
      <c r="P16" s="5"/>
      <c r="Q16" s="5"/>
      <c r="R16" s="5"/>
      <c r="S16" s="5"/>
      <c r="T16" s="5"/>
      <c r="U16" s="5"/>
      <c r="V16" s="5"/>
      <c r="W16" s="5"/>
      <c r="X16" s="5"/>
      <c r="Y16" s="5"/>
      <c r="Z16" s="5"/>
    </row>
    <row r="17">
      <c r="A17" s="42" t="s">
        <v>348</v>
      </c>
      <c r="B17" s="43" t="s">
        <v>349</v>
      </c>
      <c r="C17" s="40" t="s">
        <v>40</v>
      </c>
      <c r="D17" s="41" t="s">
        <v>41</v>
      </c>
      <c r="E17" s="43" t="s">
        <v>350</v>
      </c>
      <c r="F17" s="43" t="s">
        <v>351</v>
      </c>
      <c r="G17" s="43" t="s">
        <v>352</v>
      </c>
      <c r="H17" s="44" t="s">
        <v>45</v>
      </c>
      <c r="I17" s="43"/>
      <c r="J17" s="5"/>
      <c r="K17" s="5"/>
      <c r="L17" s="5"/>
      <c r="M17" s="5"/>
      <c r="N17" s="5"/>
      <c r="O17" s="5"/>
      <c r="P17" s="5"/>
      <c r="Q17" s="5"/>
      <c r="R17" s="5"/>
      <c r="S17" s="5"/>
      <c r="T17" s="5"/>
      <c r="U17" s="5"/>
      <c r="V17" s="5"/>
      <c r="W17" s="5"/>
      <c r="X17" s="5"/>
      <c r="Y17" s="5"/>
      <c r="Z17" s="5"/>
    </row>
    <row r="18">
      <c r="A18" s="42" t="s">
        <v>353</v>
      </c>
      <c r="B18" s="43" t="s">
        <v>354</v>
      </c>
      <c r="C18" s="40" t="s">
        <v>40</v>
      </c>
      <c r="D18" s="44" t="s">
        <v>41</v>
      </c>
      <c r="E18" s="43" t="s">
        <v>355</v>
      </c>
      <c r="F18" s="43" t="s">
        <v>356</v>
      </c>
      <c r="G18" s="43" t="s">
        <v>357</v>
      </c>
      <c r="H18" s="44" t="s">
        <v>45</v>
      </c>
      <c r="I18" s="43"/>
      <c r="J18" s="5"/>
      <c r="K18" s="5"/>
      <c r="L18" s="5"/>
      <c r="M18" s="5"/>
      <c r="N18" s="5"/>
      <c r="O18" s="5"/>
      <c r="P18" s="5"/>
      <c r="Q18" s="5"/>
      <c r="R18" s="5"/>
      <c r="S18" s="5"/>
      <c r="T18" s="5"/>
      <c r="U18" s="5"/>
      <c r="V18" s="5"/>
      <c r="W18" s="5"/>
      <c r="X18" s="5"/>
      <c r="Y18" s="5"/>
      <c r="Z18" s="5"/>
    </row>
    <row r="19">
      <c r="A19" s="38" t="s">
        <v>358</v>
      </c>
      <c r="B19" s="39" t="s">
        <v>359</v>
      </c>
      <c r="C19" s="45" t="s">
        <v>53</v>
      </c>
      <c r="D19" s="41" t="s">
        <v>360</v>
      </c>
      <c r="E19" s="39" t="s">
        <v>361</v>
      </c>
      <c r="F19" s="39" t="s">
        <v>362</v>
      </c>
      <c r="G19" s="39" t="s">
        <v>363</v>
      </c>
      <c r="H19" s="41" t="s">
        <v>45</v>
      </c>
      <c r="I19" s="39"/>
      <c r="J19" s="5"/>
      <c r="K19" s="5"/>
      <c r="L19" s="5"/>
      <c r="M19" s="5"/>
      <c r="N19" s="5"/>
      <c r="O19" s="5"/>
      <c r="P19" s="5"/>
      <c r="Q19" s="5"/>
      <c r="R19" s="5"/>
      <c r="S19" s="5"/>
      <c r="T19" s="5"/>
      <c r="U19" s="5"/>
      <c r="V19" s="5"/>
      <c r="W19" s="5"/>
      <c r="X19" s="5"/>
      <c r="Y19" s="5"/>
      <c r="Z19" s="5"/>
    </row>
    <row r="20">
      <c r="A20" s="42" t="s">
        <v>364</v>
      </c>
      <c r="B20" s="43" t="s">
        <v>365</v>
      </c>
      <c r="C20" s="45" t="s">
        <v>53</v>
      </c>
      <c r="D20" s="44" t="s">
        <v>41</v>
      </c>
      <c r="E20" s="43" t="s">
        <v>366</v>
      </c>
      <c r="F20" s="43" t="s">
        <v>367</v>
      </c>
      <c r="G20" s="43" t="s">
        <v>368</v>
      </c>
      <c r="H20" s="44" t="s">
        <v>45</v>
      </c>
      <c r="I20" s="43" t="s">
        <v>369</v>
      </c>
      <c r="J20" s="5"/>
      <c r="K20" s="5"/>
      <c r="L20" s="5"/>
      <c r="M20" s="5"/>
      <c r="N20" s="5"/>
      <c r="O20" s="5"/>
      <c r="P20" s="5"/>
      <c r="Q20" s="5"/>
      <c r="R20" s="5"/>
      <c r="S20" s="5"/>
      <c r="T20" s="5"/>
      <c r="U20" s="5"/>
      <c r="V20" s="5"/>
      <c r="W20" s="5"/>
      <c r="X20" s="5"/>
      <c r="Y20" s="5"/>
      <c r="Z20" s="5"/>
    </row>
    <row r="21" ht="15.75" customHeight="1">
      <c r="A21" s="38" t="s">
        <v>370</v>
      </c>
      <c r="B21" s="39" t="s">
        <v>371</v>
      </c>
      <c r="C21" s="45" t="s">
        <v>53</v>
      </c>
      <c r="D21" s="41" t="s">
        <v>41</v>
      </c>
      <c r="E21" s="39" t="s">
        <v>372</v>
      </c>
      <c r="F21" s="39" t="s">
        <v>373</v>
      </c>
      <c r="G21" s="39" t="s">
        <v>374</v>
      </c>
      <c r="H21" s="41" t="s">
        <v>45</v>
      </c>
      <c r="I21" s="39" t="s">
        <v>375</v>
      </c>
      <c r="J21" s="5"/>
      <c r="K21" s="5"/>
      <c r="L21" s="5"/>
      <c r="M21" s="5"/>
      <c r="N21" s="5"/>
      <c r="O21" s="5"/>
      <c r="P21" s="5"/>
      <c r="Q21" s="5"/>
      <c r="R21" s="5"/>
      <c r="S21" s="5"/>
      <c r="T21" s="5"/>
      <c r="U21" s="5"/>
      <c r="V21" s="5"/>
      <c r="W21" s="5"/>
      <c r="X21" s="5"/>
      <c r="Y21" s="5"/>
      <c r="Z21" s="5"/>
    </row>
    <row r="22" ht="15.75" customHeight="1">
      <c r="A22" s="42" t="s">
        <v>376</v>
      </c>
      <c r="B22" s="43" t="s">
        <v>377</v>
      </c>
      <c r="C22" s="40" t="s">
        <v>40</v>
      </c>
      <c r="D22" s="44" t="s">
        <v>41</v>
      </c>
      <c r="E22" s="43" t="s">
        <v>378</v>
      </c>
      <c r="F22" s="43" t="s">
        <v>379</v>
      </c>
      <c r="G22" s="43" t="s">
        <v>380</v>
      </c>
      <c r="H22" s="44" t="s">
        <v>45</v>
      </c>
      <c r="I22" s="43" t="s">
        <v>381</v>
      </c>
      <c r="J22" s="5"/>
      <c r="K22" s="5"/>
      <c r="L22" s="5"/>
      <c r="M22" s="5"/>
      <c r="N22" s="5"/>
      <c r="O22" s="5"/>
      <c r="P22" s="5"/>
      <c r="Q22" s="5"/>
      <c r="R22" s="5"/>
      <c r="S22" s="5"/>
      <c r="T22" s="5"/>
      <c r="U22" s="5"/>
      <c r="V22" s="5"/>
      <c r="W22" s="5"/>
      <c r="X22" s="5"/>
      <c r="Y22" s="5"/>
      <c r="Z22" s="5"/>
    </row>
    <row r="23" ht="15.75" customHeight="1">
      <c r="A23" s="38" t="s">
        <v>382</v>
      </c>
      <c r="B23" s="39" t="s">
        <v>383</v>
      </c>
      <c r="C23" s="45" t="s">
        <v>53</v>
      </c>
      <c r="D23" s="41" t="s">
        <v>41</v>
      </c>
      <c r="E23" s="39" t="s">
        <v>384</v>
      </c>
      <c r="F23" s="39" t="s">
        <v>385</v>
      </c>
      <c r="G23" s="39" t="s">
        <v>386</v>
      </c>
      <c r="H23" s="41" t="s">
        <v>45</v>
      </c>
      <c r="I23" s="39" t="s">
        <v>387</v>
      </c>
      <c r="J23" s="5"/>
      <c r="K23" s="5"/>
      <c r="L23" s="5"/>
      <c r="M23" s="5"/>
      <c r="N23" s="5"/>
      <c r="O23" s="5"/>
      <c r="P23" s="5"/>
      <c r="Q23" s="5"/>
      <c r="R23" s="5"/>
      <c r="S23" s="5"/>
      <c r="T23" s="5"/>
      <c r="U23" s="5"/>
      <c r="V23" s="5"/>
      <c r="W23" s="5"/>
      <c r="X23" s="5"/>
      <c r="Y23" s="5"/>
      <c r="Z23" s="5"/>
    </row>
    <row r="24" ht="15.75" customHeight="1">
      <c r="A24" s="42" t="s">
        <v>388</v>
      </c>
      <c r="B24" s="43" t="s">
        <v>389</v>
      </c>
      <c r="C24" s="45" t="s">
        <v>53</v>
      </c>
      <c r="D24" s="44" t="s">
        <v>41</v>
      </c>
      <c r="E24" s="43" t="s">
        <v>390</v>
      </c>
      <c r="F24" s="43" t="s">
        <v>391</v>
      </c>
      <c r="G24" s="43" t="s">
        <v>392</v>
      </c>
      <c r="H24" s="44" t="s">
        <v>45</v>
      </c>
      <c r="I24" s="43" t="s">
        <v>393</v>
      </c>
      <c r="J24" s="5"/>
      <c r="K24" s="5"/>
      <c r="L24" s="5"/>
      <c r="M24" s="5"/>
      <c r="N24" s="5"/>
      <c r="O24" s="5"/>
      <c r="P24" s="5"/>
      <c r="Q24" s="5"/>
      <c r="R24" s="5"/>
      <c r="S24" s="5"/>
      <c r="T24" s="5"/>
      <c r="U24" s="5"/>
      <c r="V24" s="5"/>
      <c r="W24" s="5"/>
      <c r="X24" s="5"/>
      <c r="Y24" s="5"/>
      <c r="Z24" s="5"/>
    </row>
    <row r="25" ht="15.75" customHeight="1">
      <c r="A25" s="38" t="s">
        <v>394</v>
      </c>
      <c r="B25" s="39" t="s">
        <v>395</v>
      </c>
      <c r="C25" s="46" t="s">
        <v>74</v>
      </c>
      <c r="D25" s="41" t="s">
        <v>41</v>
      </c>
      <c r="E25" s="39" t="s">
        <v>396</v>
      </c>
      <c r="F25" s="39" t="s">
        <v>397</v>
      </c>
      <c r="G25" s="39" t="s">
        <v>398</v>
      </c>
      <c r="H25" s="41" t="s">
        <v>45</v>
      </c>
      <c r="I25" s="39"/>
      <c r="J25" s="5"/>
      <c r="K25" s="5"/>
      <c r="L25" s="5"/>
      <c r="M25" s="5"/>
      <c r="N25" s="5"/>
      <c r="O25" s="5"/>
      <c r="P25" s="5"/>
      <c r="Q25" s="5"/>
      <c r="R25" s="5"/>
      <c r="S25" s="5"/>
      <c r="T25" s="5"/>
      <c r="U25" s="5"/>
      <c r="V25" s="5"/>
      <c r="W25" s="5"/>
      <c r="X25" s="5"/>
      <c r="Y25" s="5"/>
      <c r="Z25" s="5"/>
    </row>
    <row r="26" ht="15.75" customHeight="1">
      <c r="A26" s="42" t="s">
        <v>399</v>
      </c>
      <c r="B26" s="43" t="s">
        <v>400</v>
      </c>
      <c r="C26" s="40" t="s">
        <v>40</v>
      </c>
      <c r="D26" s="44" t="s">
        <v>41</v>
      </c>
      <c r="E26" s="43" t="s">
        <v>401</v>
      </c>
      <c r="F26" s="43" t="s">
        <v>402</v>
      </c>
      <c r="G26" s="43" t="s">
        <v>403</v>
      </c>
      <c r="H26" s="44" t="s">
        <v>45</v>
      </c>
      <c r="I26" s="43"/>
      <c r="J26" s="5"/>
      <c r="K26" s="5"/>
      <c r="L26" s="5"/>
      <c r="M26" s="5"/>
      <c r="N26" s="5"/>
      <c r="O26" s="5"/>
      <c r="P26" s="5"/>
      <c r="Q26" s="5"/>
      <c r="R26" s="5"/>
      <c r="S26" s="5"/>
      <c r="T26" s="5"/>
      <c r="U26" s="5"/>
      <c r="V26" s="5"/>
      <c r="W26" s="5"/>
      <c r="X26" s="5"/>
      <c r="Y26" s="5"/>
      <c r="Z26" s="5"/>
    </row>
    <row r="27" ht="15.75" customHeight="1">
      <c r="A27" s="38" t="s">
        <v>404</v>
      </c>
      <c r="B27" s="39" t="s">
        <v>405</v>
      </c>
      <c r="C27" s="40" t="s">
        <v>40</v>
      </c>
      <c r="D27" s="41" t="s">
        <v>41</v>
      </c>
      <c r="E27" s="39" t="s">
        <v>406</v>
      </c>
      <c r="F27" s="39" t="s">
        <v>407</v>
      </c>
      <c r="G27" s="39" t="s">
        <v>408</v>
      </c>
      <c r="H27" s="41" t="s">
        <v>45</v>
      </c>
      <c r="I27" s="39" t="s">
        <v>409</v>
      </c>
      <c r="J27" s="5"/>
      <c r="K27" s="5"/>
      <c r="L27" s="5"/>
      <c r="M27" s="5"/>
      <c r="N27" s="5"/>
      <c r="O27" s="5"/>
      <c r="P27" s="5"/>
      <c r="Q27" s="5"/>
      <c r="R27" s="5"/>
      <c r="S27" s="5"/>
      <c r="T27" s="5"/>
      <c r="U27" s="5"/>
      <c r="V27" s="5"/>
      <c r="W27" s="5"/>
      <c r="X27" s="5"/>
      <c r="Y27" s="5"/>
      <c r="Z27" s="5"/>
    </row>
    <row r="28" ht="15.75" customHeight="1">
      <c r="A28" s="42" t="s">
        <v>410</v>
      </c>
      <c r="B28" s="43" t="s">
        <v>411</v>
      </c>
      <c r="C28" s="45" t="s">
        <v>53</v>
      </c>
      <c r="D28" s="44" t="s">
        <v>41</v>
      </c>
      <c r="E28" s="43" t="s">
        <v>412</v>
      </c>
      <c r="F28" s="43" t="s">
        <v>413</v>
      </c>
      <c r="G28" s="43" t="s">
        <v>414</v>
      </c>
      <c r="H28" s="44" t="s">
        <v>45</v>
      </c>
      <c r="I28" s="43"/>
      <c r="J28" s="5"/>
      <c r="K28" s="5"/>
      <c r="L28" s="5"/>
      <c r="M28" s="5"/>
      <c r="N28" s="5"/>
      <c r="O28" s="5"/>
      <c r="P28" s="5"/>
      <c r="Q28" s="5"/>
      <c r="R28" s="5"/>
      <c r="S28" s="5"/>
      <c r="T28" s="5"/>
      <c r="U28" s="5"/>
      <c r="V28" s="5"/>
      <c r="W28" s="5"/>
      <c r="X28" s="5"/>
      <c r="Y28" s="5"/>
      <c r="Z28" s="5"/>
    </row>
    <row r="29" ht="15.75" customHeight="1">
      <c r="A29" s="42" t="s">
        <v>415</v>
      </c>
      <c r="B29" s="43" t="s">
        <v>416</v>
      </c>
      <c r="C29" s="40" t="s">
        <v>40</v>
      </c>
      <c r="D29" s="44" t="s">
        <v>41</v>
      </c>
      <c r="E29" s="43" t="s">
        <v>417</v>
      </c>
      <c r="F29" s="43" t="s">
        <v>418</v>
      </c>
      <c r="G29" s="43" t="s">
        <v>419</v>
      </c>
      <c r="H29" s="44" t="s">
        <v>45</v>
      </c>
      <c r="I29" s="43"/>
      <c r="J29" s="5"/>
      <c r="K29" s="5"/>
      <c r="L29" s="5"/>
      <c r="M29" s="5"/>
      <c r="N29" s="5"/>
      <c r="O29" s="5"/>
      <c r="P29" s="5"/>
      <c r="Q29" s="5"/>
      <c r="R29" s="5"/>
      <c r="S29" s="5"/>
      <c r="T29" s="5"/>
      <c r="U29" s="5"/>
      <c r="V29" s="5"/>
      <c r="W29" s="5"/>
      <c r="X29" s="5"/>
      <c r="Y29" s="5"/>
      <c r="Z29" s="5"/>
    </row>
    <row r="30" ht="15.75" customHeight="1">
      <c r="A30" s="38" t="s">
        <v>420</v>
      </c>
      <c r="B30" s="39" t="s">
        <v>421</v>
      </c>
      <c r="C30" s="40" t="s">
        <v>40</v>
      </c>
      <c r="D30" s="41" t="s">
        <v>360</v>
      </c>
      <c r="E30" s="39" t="s">
        <v>422</v>
      </c>
      <c r="F30" s="39" t="s">
        <v>423</v>
      </c>
      <c r="G30" s="39" t="s">
        <v>424</v>
      </c>
      <c r="H30" s="41" t="s">
        <v>45</v>
      </c>
      <c r="I30" s="39" t="s">
        <v>425</v>
      </c>
      <c r="J30" s="5"/>
      <c r="K30" s="5"/>
      <c r="L30" s="5"/>
      <c r="M30" s="5"/>
      <c r="N30" s="5"/>
      <c r="O30" s="5"/>
      <c r="P30" s="5"/>
      <c r="Q30" s="5"/>
      <c r="R30" s="5"/>
      <c r="S30" s="5"/>
      <c r="T30" s="5"/>
      <c r="U30" s="5"/>
      <c r="V30" s="5"/>
      <c r="W30" s="5"/>
      <c r="X30" s="5"/>
      <c r="Y30" s="5"/>
      <c r="Z30" s="5"/>
    </row>
    <row r="31" ht="15.75" customHeight="1">
      <c r="A31" s="42" t="s">
        <v>426</v>
      </c>
      <c r="B31" s="43" t="s">
        <v>427</v>
      </c>
      <c r="C31" s="45" t="s">
        <v>53</v>
      </c>
      <c r="D31" s="44" t="s">
        <v>41</v>
      </c>
      <c r="E31" s="43" t="s">
        <v>428</v>
      </c>
      <c r="F31" s="43" t="s">
        <v>429</v>
      </c>
      <c r="G31" s="43" t="s">
        <v>430</v>
      </c>
      <c r="H31" s="44" t="s">
        <v>45</v>
      </c>
      <c r="I31" s="43" t="s">
        <v>431</v>
      </c>
      <c r="J31" s="5"/>
      <c r="K31" s="5"/>
      <c r="L31" s="5"/>
      <c r="M31" s="5"/>
      <c r="N31" s="5"/>
      <c r="O31" s="5"/>
      <c r="P31" s="5"/>
      <c r="Q31" s="5"/>
      <c r="R31" s="5"/>
      <c r="S31" s="5"/>
      <c r="T31" s="5"/>
      <c r="U31" s="5"/>
      <c r="V31" s="5"/>
      <c r="W31" s="5"/>
      <c r="X31" s="5"/>
      <c r="Y31" s="5"/>
      <c r="Z31" s="5"/>
    </row>
    <row r="32" ht="15.75" customHeight="1">
      <c r="A32" s="38" t="s">
        <v>432</v>
      </c>
      <c r="B32" s="39" t="s">
        <v>433</v>
      </c>
      <c r="C32" s="46" t="s">
        <v>74</v>
      </c>
      <c r="D32" s="41" t="s">
        <v>41</v>
      </c>
      <c r="E32" s="39" t="s">
        <v>434</v>
      </c>
      <c r="F32" s="39" t="s">
        <v>435</v>
      </c>
      <c r="G32" s="39" t="s">
        <v>436</v>
      </c>
      <c r="H32" s="41" t="s">
        <v>45</v>
      </c>
      <c r="I32" s="39"/>
      <c r="J32" s="5"/>
      <c r="K32" s="5"/>
      <c r="L32" s="5"/>
      <c r="M32" s="5"/>
      <c r="N32" s="5"/>
      <c r="O32" s="5"/>
      <c r="P32" s="5"/>
      <c r="Q32" s="5"/>
      <c r="R32" s="5"/>
      <c r="S32" s="5"/>
      <c r="T32" s="5"/>
      <c r="U32" s="5"/>
      <c r="V32" s="5"/>
      <c r="W32" s="5"/>
      <c r="X32" s="5"/>
      <c r="Y32" s="5"/>
      <c r="Z32" s="5"/>
    </row>
    <row r="33" ht="15.75" customHeight="1">
      <c r="A33" s="42" t="s">
        <v>437</v>
      </c>
      <c r="B33" s="43" t="s">
        <v>438</v>
      </c>
      <c r="C33" s="47" t="s">
        <v>40</v>
      </c>
      <c r="D33" s="44" t="s">
        <v>360</v>
      </c>
      <c r="E33" s="43" t="s">
        <v>439</v>
      </c>
      <c r="F33" s="43" t="s">
        <v>440</v>
      </c>
      <c r="G33" s="43" t="s">
        <v>441</v>
      </c>
      <c r="H33" s="44" t="s">
        <v>45</v>
      </c>
      <c r="I33" s="43"/>
      <c r="J33" s="5"/>
      <c r="K33" s="5"/>
      <c r="L33" s="5"/>
      <c r="M33" s="5"/>
      <c r="N33" s="5"/>
      <c r="O33" s="5"/>
      <c r="P33" s="5"/>
      <c r="Q33" s="5"/>
      <c r="R33" s="5"/>
      <c r="S33" s="5"/>
      <c r="T33" s="5"/>
      <c r="U33" s="5"/>
      <c r="V33" s="5"/>
      <c r="W33" s="5"/>
      <c r="X33" s="5"/>
      <c r="Y33" s="5"/>
      <c r="Z33" s="5"/>
    </row>
    <row r="34" ht="15.75" customHeight="1">
      <c r="A34" s="38" t="s">
        <v>442</v>
      </c>
      <c r="B34" s="39" t="s">
        <v>443</v>
      </c>
      <c r="C34" s="47" t="s">
        <v>40</v>
      </c>
      <c r="D34" s="41" t="s">
        <v>41</v>
      </c>
      <c r="E34" s="39" t="s">
        <v>444</v>
      </c>
      <c r="F34" s="39" t="s">
        <v>445</v>
      </c>
      <c r="G34" s="39" t="s">
        <v>446</v>
      </c>
      <c r="H34" s="41" t="s">
        <v>45</v>
      </c>
      <c r="I34" s="39" t="s">
        <v>447</v>
      </c>
      <c r="J34" s="5"/>
      <c r="K34" s="5"/>
      <c r="L34" s="5"/>
      <c r="M34" s="5"/>
      <c r="N34" s="5"/>
      <c r="O34" s="5"/>
      <c r="P34" s="5"/>
      <c r="Q34" s="5"/>
      <c r="R34" s="5"/>
      <c r="S34" s="5"/>
      <c r="T34" s="5"/>
      <c r="U34" s="5"/>
      <c r="V34" s="5"/>
      <c r="W34" s="5"/>
      <c r="X34" s="5"/>
      <c r="Y34" s="5"/>
      <c r="Z34" s="5"/>
    </row>
    <row r="35" ht="15.75" customHeight="1">
      <c r="A35" s="42" t="s">
        <v>448</v>
      </c>
      <c r="B35" s="43" t="s">
        <v>449</v>
      </c>
      <c r="C35" s="47" t="s">
        <v>40</v>
      </c>
      <c r="D35" s="44" t="s">
        <v>41</v>
      </c>
      <c r="E35" s="43" t="s">
        <v>450</v>
      </c>
      <c r="F35" s="43" t="s">
        <v>451</v>
      </c>
      <c r="G35" s="43" t="s">
        <v>452</v>
      </c>
      <c r="H35" s="44" t="s">
        <v>45</v>
      </c>
      <c r="I35" s="43"/>
      <c r="J35" s="5"/>
      <c r="K35" s="5"/>
      <c r="L35" s="5"/>
      <c r="M35" s="5"/>
      <c r="N35" s="5"/>
      <c r="O35" s="5"/>
      <c r="P35" s="5"/>
      <c r="Q35" s="5"/>
      <c r="R35" s="5"/>
      <c r="S35" s="5"/>
      <c r="T35" s="5"/>
      <c r="U35" s="5"/>
      <c r="V35" s="5"/>
      <c r="W35" s="5"/>
      <c r="X35" s="5"/>
      <c r="Y35" s="5"/>
      <c r="Z35" s="5"/>
    </row>
    <row r="36" ht="15.75" customHeight="1">
      <c r="A36" s="38" t="s">
        <v>453</v>
      </c>
      <c r="B36" s="39" t="s">
        <v>454</v>
      </c>
      <c r="C36" s="47" t="s">
        <v>40</v>
      </c>
      <c r="D36" s="41" t="s">
        <v>360</v>
      </c>
      <c r="E36" s="39" t="s">
        <v>455</v>
      </c>
      <c r="F36" s="39" t="s">
        <v>456</v>
      </c>
      <c r="G36" s="39" t="s">
        <v>457</v>
      </c>
      <c r="H36" s="41" t="s">
        <v>45</v>
      </c>
      <c r="I36" s="39" t="s">
        <v>458</v>
      </c>
      <c r="J36" s="5"/>
      <c r="K36" s="5"/>
      <c r="L36" s="5"/>
      <c r="M36" s="5"/>
      <c r="N36" s="5"/>
      <c r="O36" s="5"/>
      <c r="P36" s="5"/>
      <c r="Q36" s="5"/>
      <c r="R36" s="5"/>
      <c r="S36" s="5"/>
      <c r="T36" s="5"/>
      <c r="U36" s="5"/>
      <c r="V36" s="5"/>
      <c r="W36" s="5"/>
      <c r="X36" s="5"/>
      <c r="Y36" s="5"/>
      <c r="Z36" s="5"/>
    </row>
    <row r="37" ht="15.75" customHeight="1">
      <c r="A37" s="42" t="s">
        <v>459</v>
      </c>
      <c r="B37" s="43" t="s">
        <v>460</v>
      </c>
      <c r="C37" s="49" t="s">
        <v>53</v>
      </c>
      <c r="D37" s="44" t="s">
        <v>360</v>
      </c>
      <c r="E37" s="43" t="s">
        <v>461</v>
      </c>
      <c r="F37" s="43" t="s">
        <v>462</v>
      </c>
      <c r="G37" s="43" t="s">
        <v>463</v>
      </c>
      <c r="H37" s="44" t="s">
        <v>45</v>
      </c>
      <c r="I37" s="43" t="s">
        <v>447</v>
      </c>
      <c r="J37" s="5"/>
      <c r="K37" s="5"/>
      <c r="L37" s="5"/>
      <c r="M37" s="5"/>
      <c r="N37" s="5"/>
      <c r="O37" s="5"/>
      <c r="P37" s="5"/>
      <c r="Q37" s="5"/>
      <c r="R37" s="5"/>
      <c r="S37" s="5"/>
      <c r="T37" s="5"/>
      <c r="U37" s="5"/>
      <c r="V37" s="5"/>
      <c r="W37" s="5"/>
      <c r="X37" s="5"/>
      <c r="Y37" s="5"/>
      <c r="Z37" s="5"/>
    </row>
    <row r="38" ht="15.75" customHeight="1">
      <c r="A38" s="38" t="s">
        <v>464</v>
      </c>
      <c r="B38" s="50" t="s">
        <v>465</v>
      </c>
      <c r="C38" s="45" t="s">
        <v>53</v>
      </c>
      <c r="D38" s="41" t="s">
        <v>360</v>
      </c>
      <c r="E38" s="39" t="s">
        <v>466</v>
      </c>
      <c r="F38" s="39" t="s">
        <v>467</v>
      </c>
      <c r="G38" s="39" t="s">
        <v>468</v>
      </c>
      <c r="H38" s="41" t="s">
        <v>45</v>
      </c>
      <c r="I38" s="39" t="s">
        <v>469</v>
      </c>
      <c r="J38" s="5"/>
      <c r="K38" s="5"/>
      <c r="L38" s="5"/>
      <c r="M38" s="5"/>
      <c r="N38" s="5"/>
      <c r="O38" s="5"/>
      <c r="P38" s="5"/>
      <c r="Q38" s="5"/>
      <c r="R38" s="5"/>
      <c r="S38" s="5"/>
      <c r="T38" s="5"/>
      <c r="U38" s="5"/>
      <c r="V38" s="5"/>
      <c r="W38" s="5"/>
      <c r="X38" s="5"/>
      <c r="Y38" s="5"/>
      <c r="Z38" s="5"/>
    </row>
    <row r="39" ht="15.75" customHeight="1">
      <c r="A39" s="42" t="s">
        <v>470</v>
      </c>
      <c r="B39" s="51" t="s">
        <v>471</v>
      </c>
      <c r="C39" s="45" t="s">
        <v>53</v>
      </c>
      <c r="D39" s="44" t="s">
        <v>41</v>
      </c>
      <c r="E39" s="43" t="s">
        <v>472</v>
      </c>
      <c r="F39" s="43" t="s">
        <v>473</v>
      </c>
      <c r="G39" s="43" t="s">
        <v>474</v>
      </c>
      <c r="H39" s="44" t="s">
        <v>45</v>
      </c>
      <c r="I39" s="43" t="s">
        <v>475</v>
      </c>
      <c r="J39" s="5"/>
      <c r="K39" s="5"/>
      <c r="L39" s="5"/>
      <c r="M39" s="5"/>
      <c r="N39" s="5"/>
      <c r="O39" s="5"/>
      <c r="P39" s="5"/>
      <c r="Q39" s="5"/>
      <c r="R39" s="5"/>
      <c r="S39" s="5"/>
      <c r="T39" s="5"/>
      <c r="U39" s="5"/>
      <c r="V39" s="5"/>
      <c r="W39" s="5"/>
      <c r="X39" s="5"/>
      <c r="Y39" s="5"/>
      <c r="Z39" s="5"/>
    </row>
    <row r="40" ht="15.75" customHeight="1">
      <c r="A40" s="38" t="s">
        <v>476</v>
      </c>
      <c r="B40" s="39" t="s">
        <v>477</v>
      </c>
      <c r="C40" s="45" t="s">
        <v>53</v>
      </c>
      <c r="D40" s="41" t="s">
        <v>360</v>
      </c>
      <c r="E40" s="39" t="s">
        <v>478</v>
      </c>
      <c r="F40" s="39" t="s">
        <v>479</v>
      </c>
      <c r="G40" s="39" t="s">
        <v>480</v>
      </c>
      <c r="H40" s="41" t="s">
        <v>45</v>
      </c>
      <c r="I40" s="39" t="s">
        <v>481</v>
      </c>
      <c r="J40" s="5"/>
      <c r="K40" s="5"/>
      <c r="L40" s="5"/>
      <c r="M40" s="5"/>
      <c r="N40" s="5"/>
      <c r="O40" s="5"/>
      <c r="P40" s="5"/>
      <c r="Q40" s="5"/>
      <c r="R40" s="5"/>
      <c r="S40" s="5"/>
      <c r="T40" s="5"/>
      <c r="U40" s="5"/>
      <c r="V40" s="5"/>
      <c r="W40" s="5"/>
      <c r="X40" s="5"/>
      <c r="Y40" s="5"/>
      <c r="Z40" s="5"/>
    </row>
    <row r="41" ht="15.75" customHeight="1">
      <c r="A41" s="42" t="s">
        <v>482</v>
      </c>
      <c r="B41" s="43" t="s">
        <v>483</v>
      </c>
      <c r="C41" s="40" t="s">
        <v>40</v>
      </c>
      <c r="D41" s="44" t="s">
        <v>41</v>
      </c>
      <c r="E41" s="43" t="s">
        <v>484</v>
      </c>
      <c r="F41" s="43" t="s">
        <v>485</v>
      </c>
      <c r="G41" s="43" t="s">
        <v>486</v>
      </c>
      <c r="H41" s="44" t="s">
        <v>45</v>
      </c>
      <c r="I41" s="43" t="s">
        <v>447</v>
      </c>
      <c r="J41" s="5"/>
      <c r="K41" s="5"/>
      <c r="L41" s="5"/>
      <c r="M41" s="5"/>
      <c r="N41" s="5"/>
      <c r="O41" s="5"/>
      <c r="P41" s="5"/>
      <c r="Q41" s="5"/>
      <c r="R41" s="5"/>
      <c r="S41" s="5"/>
      <c r="T41" s="5"/>
      <c r="U41" s="5"/>
      <c r="V41" s="5"/>
      <c r="W41" s="5"/>
      <c r="X41" s="5"/>
      <c r="Y41" s="5"/>
      <c r="Z41" s="5"/>
    </row>
    <row r="42" ht="15.75" customHeight="1">
      <c r="A42" s="38" t="s">
        <v>487</v>
      </c>
      <c r="B42" s="39" t="s">
        <v>488</v>
      </c>
      <c r="C42" s="40" t="s">
        <v>40</v>
      </c>
      <c r="D42" s="41" t="s">
        <v>41</v>
      </c>
      <c r="E42" s="39" t="s">
        <v>489</v>
      </c>
      <c r="F42" s="39" t="s">
        <v>490</v>
      </c>
      <c r="G42" s="39" t="s">
        <v>491</v>
      </c>
      <c r="H42" s="41" t="s">
        <v>45</v>
      </c>
      <c r="I42" s="39" t="s">
        <v>447</v>
      </c>
      <c r="J42" s="5"/>
      <c r="K42" s="5"/>
      <c r="L42" s="5"/>
      <c r="M42" s="5"/>
      <c r="N42" s="5"/>
      <c r="O42" s="5"/>
      <c r="P42" s="5"/>
      <c r="Q42" s="5"/>
      <c r="R42" s="5"/>
      <c r="S42" s="5"/>
      <c r="T42" s="5"/>
      <c r="U42" s="5"/>
      <c r="V42" s="5"/>
      <c r="W42" s="5"/>
      <c r="X42" s="5"/>
      <c r="Y42" s="5"/>
      <c r="Z42" s="5"/>
    </row>
    <row r="43" ht="15.75" customHeight="1">
      <c r="A43" s="42" t="s">
        <v>492</v>
      </c>
      <c r="B43" s="43" t="s">
        <v>493</v>
      </c>
      <c r="C43" s="45" t="s">
        <v>53</v>
      </c>
      <c r="D43" s="44" t="s">
        <v>360</v>
      </c>
      <c r="E43" s="43" t="s">
        <v>494</v>
      </c>
      <c r="F43" s="43" t="s">
        <v>495</v>
      </c>
      <c r="G43" s="43" t="s">
        <v>496</v>
      </c>
      <c r="H43" s="44" t="s">
        <v>45</v>
      </c>
      <c r="I43" s="43" t="s">
        <v>447</v>
      </c>
      <c r="J43" s="5"/>
      <c r="K43" s="5"/>
      <c r="L43" s="5"/>
      <c r="M43" s="5"/>
      <c r="N43" s="5"/>
      <c r="O43" s="5"/>
      <c r="P43" s="5"/>
      <c r="Q43" s="5"/>
      <c r="R43" s="5"/>
      <c r="S43" s="5"/>
      <c r="T43" s="5"/>
      <c r="U43" s="5"/>
      <c r="V43" s="5"/>
      <c r="W43" s="5"/>
      <c r="X43" s="5"/>
      <c r="Y43" s="5"/>
      <c r="Z43" s="5"/>
    </row>
    <row r="44" ht="15.75" customHeight="1">
      <c r="A44" s="38" t="s">
        <v>497</v>
      </c>
      <c r="B44" s="39" t="s">
        <v>498</v>
      </c>
      <c r="C44" s="45" t="s">
        <v>53</v>
      </c>
      <c r="D44" s="41" t="s">
        <v>360</v>
      </c>
      <c r="E44" s="39" t="s">
        <v>499</v>
      </c>
      <c r="F44" s="39" t="s">
        <v>500</v>
      </c>
      <c r="G44" s="39" t="s">
        <v>501</v>
      </c>
      <c r="H44" s="41" t="s">
        <v>45</v>
      </c>
      <c r="I44" s="39" t="s">
        <v>447</v>
      </c>
      <c r="J44" s="5"/>
      <c r="K44" s="5"/>
      <c r="L44" s="5"/>
      <c r="M44" s="5"/>
      <c r="N44" s="5"/>
      <c r="O44" s="5"/>
      <c r="P44" s="5"/>
      <c r="Q44" s="5"/>
      <c r="R44" s="5"/>
      <c r="S44" s="5"/>
      <c r="T44" s="5"/>
      <c r="U44" s="5"/>
      <c r="V44" s="5"/>
      <c r="W44" s="5"/>
      <c r="X44" s="5"/>
      <c r="Y44" s="5"/>
      <c r="Z44" s="5"/>
    </row>
    <row r="45" ht="15.75" customHeight="1">
      <c r="A45" s="42" t="s">
        <v>502</v>
      </c>
      <c r="B45" s="43" t="s">
        <v>503</v>
      </c>
      <c r="C45" s="45" t="s">
        <v>53</v>
      </c>
      <c r="D45" s="44" t="s">
        <v>360</v>
      </c>
      <c r="E45" s="43" t="s">
        <v>504</v>
      </c>
      <c r="F45" s="43" t="s">
        <v>505</v>
      </c>
      <c r="G45" s="43" t="s">
        <v>506</v>
      </c>
      <c r="H45" s="44" t="s">
        <v>45</v>
      </c>
      <c r="I45" s="43" t="s">
        <v>447</v>
      </c>
      <c r="J45" s="5"/>
      <c r="K45" s="5"/>
      <c r="L45" s="5"/>
      <c r="M45" s="5"/>
      <c r="N45" s="5"/>
      <c r="O45" s="5"/>
      <c r="P45" s="5"/>
      <c r="Q45" s="5"/>
      <c r="R45" s="5"/>
      <c r="S45" s="5"/>
      <c r="T45" s="5"/>
      <c r="U45" s="5"/>
      <c r="V45" s="5"/>
      <c r="W45" s="5"/>
      <c r="X45" s="5"/>
      <c r="Y45" s="5"/>
      <c r="Z45" s="5"/>
    </row>
    <row r="46" ht="15.75" customHeight="1">
      <c r="A46" s="38" t="s">
        <v>507</v>
      </c>
      <c r="B46" s="39" t="s">
        <v>508</v>
      </c>
      <c r="C46" s="40" t="s">
        <v>40</v>
      </c>
      <c r="D46" s="41" t="s">
        <v>41</v>
      </c>
      <c r="E46" s="39" t="s">
        <v>509</v>
      </c>
      <c r="F46" s="39" t="s">
        <v>510</v>
      </c>
      <c r="G46" s="39" t="s">
        <v>511</v>
      </c>
      <c r="H46" s="41" t="s">
        <v>45</v>
      </c>
      <c r="I46" s="39"/>
      <c r="J46" s="5"/>
      <c r="K46" s="5"/>
      <c r="L46" s="5"/>
      <c r="M46" s="5"/>
      <c r="N46" s="5"/>
      <c r="O46" s="5"/>
      <c r="P46" s="5"/>
      <c r="Q46" s="5"/>
      <c r="R46" s="5"/>
      <c r="S46" s="5"/>
      <c r="T46" s="5"/>
      <c r="U46" s="5"/>
      <c r="V46" s="5"/>
      <c r="W46" s="5"/>
      <c r="X46" s="5"/>
      <c r="Y46" s="5"/>
      <c r="Z46" s="5"/>
    </row>
    <row r="47" ht="15.75" customHeight="1">
      <c r="A47" s="42" t="s">
        <v>512</v>
      </c>
      <c r="B47" s="43" t="s">
        <v>513</v>
      </c>
      <c r="C47" s="40" t="s">
        <v>40</v>
      </c>
      <c r="D47" s="44" t="s">
        <v>41</v>
      </c>
      <c r="E47" s="43" t="s">
        <v>514</v>
      </c>
      <c r="F47" s="43" t="s">
        <v>515</v>
      </c>
      <c r="G47" s="43" t="s">
        <v>516</v>
      </c>
      <c r="H47" s="44" t="s">
        <v>45</v>
      </c>
      <c r="I47" s="43"/>
      <c r="J47" s="5"/>
      <c r="K47" s="5"/>
      <c r="L47" s="5"/>
      <c r="M47" s="5"/>
      <c r="N47" s="5"/>
      <c r="O47" s="5"/>
      <c r="P47" s="5"/>
      <c r="Q47" s="5"/>
      <c r="R47" s="5"/>
      <c r="S47" s="5"/>
      <c r="T47" s="5"/>
      <c r="U47" s="5"/>
      <c r="V47" s="5"/>
      <c r="W47" s="5"/>
      <c r="X47" s="5"/>
      <c r="Y47" s="5"/>
      <c r="Z47" s="5"/>
    </row>
    <row r="48" ht="15.75" customHeight="1">
      <c r="A48" s="38" t="s">
        <v>517</v>
      </c>
      <c r="B48" s="39" t="s">
        <v>518</v>
      </c>
      <c r="C48" s="45" t="s">
        <v>53</v>
      </c>
      <c r="D48" s="41" t="s">
        <v>41</v>
      </c>
      <c r="E48" s="39" t="s">
        <v>519</v>
      </c>
      <c r="F48" s="39" t="s">
        <v>520</v>
      </c>
      <c r="G48" s="39" t="s">
        <v>521</v>
      </c>
      <c r="H48" s="41" t="s">
        <v>45</v>
      </c>
      <c r="I48" s="39"/>
      <c r="J48" s="5"/>
      <c r="K48" s="5"/>
      <c r="L48" s="5"/>
      <c r="M48" s="5"/>
      <c r="N48" s="5"/>
      <c r="O48" s="5"/>
      <c r="P48" s="5"/>
      <c r="Q48" s="5"/>
      <c r="R48" s="5"/>
      <c r="S48" s="5"/>
      <c r="T48" s="5"/>
      <c r="U48" s="5"/>
      <c r="V48" s="5"/>
      <c r="W48" s="5"/>
      <c r="X48" s="5"/>
      <c r="Y48" s="5"/>
      <c r="Z48" s="5"/>
    </row>
    <row r="49" ht="15.75" customHeight="1">
      <c r="A49" s="42" t="s">
        <v>522</v>
      </c>
      <c r="B49" s="43" t="s">
        <v>523</v>
      </c>
      <c r="C49" s="45" t="s">
        <v>53</v>
      </c>
      <c r="D49" s="44" t="s">
        <v>41</v>
      </c>
      <c r="E49" s="43" t="s">
        <v>524</v>
      </c>
      <c r="F49" s="43" t="s">
        <v>525</v>
      </c>
      <c r="G49" s="43" t="s">
        <v>526</v>
      </c>
      <c r="H49" s="44" t="s">
        <v>45</v>
      </c>
      <c r="I49" s="43"/>
      <c r="J49" s="5"/>
      <c r="K49" s="5"/>
      <c r="L49" s="5"/>
      <c r="M49" s="5"/>
      <c r="N49" s="5"/>
      <c r="O49" s="5"/>
      <c r="P49" s="5"/>
      <c r="Q49" s="5"/>
      <c r="R49" s="5"/>
      <c r="S49" s="5"/>
      <c r="T49" s="5"/>
      <c r="U49" s="5"/>
      <c r="V49" s="5"/>
      <c r="W49" s="5"/>
      <c r="X49" s="5"/>
      <c r="Y49" s="5"/>
      <c r="Z49" s="5"/>
    </row>
    <row r="50" ht="15.75" customHeight="1">
      <c r="A50" s="38" t="s">
        <v>527</v>
      </c>
      <c r="B50" s="39" t="s">
        <v>528</v>
      </c>
      <c r="C50" s="45" t="s">
        <v>53</v>
      </c>
      <c r="D50" s="41" t="s">
        <v>41</v>
      </c>
      <c r="E50" s="39" t="s">
        <v>529</v>
      </c>
      <c r="F50" s="39" t="s">
        <v>530</v>
      </c>
      <c r="G50" s="39" t="s">
        <v>531</v>
      </c>
      <c r="H50" s="41" t="s">
        <v>45</v>
      </c>
      <c r="I50" s="39" t="s">
        <v>447</v>
      </c>
      <c r="J50" s="5"/>
      <c r="K50" s="5"/>
      <c r="L50" s="5"/>
      <c r="M50" s="5"/>
      <c r="N50" s="5"/>
      <c r="O50" s="5"/>
      <c r="P50" s="5"/>
      <c r="Q50" s="5"/>
      <c r="R50" s="5"/>
      <c r="S50" s="5"/>
      <c r="T50" s="5"/>
      <c r="U50" s="5"/>
      <c r="V50" s="5"/>
      <c r="W50" s="5"/>
      <c r="X50" s="5"/>
      <c r="Y50" s="5"/>
      <c r="Z50" s="5"/>
    </row>
    <row r="51" ht="15.75" customHeight="1">
      <c r="A51" s="42" t="s">
        <v>532</v>
      </c>
      <c r="B51" s="43" t="s">
        <v>533</v>
      </c>
      <c r="C51" s="40" t="s">
        <v>40</v>
      </c>
      <c r="D51" s="44" t="s">
        <v>41</v>
      </c>
      <c r="E51" s="43" t="s">
        <v>534</v>
      </c>
      <c r="F51" s="43" t="s">
        <v>535</v>
      </c>
      <c r="G51" s="43" t="s">
        <v>536</v>
      </c>
      <c r="H51" s="44" t="s">
        <v>45</v>
      </c>
      <c r="I51" s="43" t="s">
        <v>537</v>
      </c>
      <c r="J51" s="5"/>
      <c r="K51" s="5"/>
      <c r="L51" s="5"/>
      <c r="M51" s="5"/>
      <c r="N51" s="5"/>
      <c r="O51" s="5"/>
      <c r="P51" s="5"/>
      <c r="Q51" s="5"/>
      <c r="R51" s="5"/>
      <c r="S51" s="5"/>
      <c r="T51" s="5"/>
      <c r="U51" s="5"/>
      <c r="V51" s="5"/>
      <c r="W51" s="5"/>
      <c r="X51" s="5"/>
      <c r="Y51" s="5"/>
      <c r="Z51" s="5"/>
    </row>
    <row r="52" ht="15.75" customHeight="1">
      <c r="A52" s="38" t="s">
        <v>538</v>
      </c>
      <c r="B52" s="39" t="s">
        <v>539</v>
      </c>
      <c r="C52" s="40" t="s">
        <v>40</v>
      </c>
      <c r="D52" s="41" t="s">
        <v>41</v>
      </c>
      <c r="E52" s="39" t="s">
        <v>540</v>
      </c>
      <c r="F52" s="39" t="s">
        <v>541</v>
      </c>
      <c r="G52" s="39" t="s">
        <v>542</v>
      </c>
      <c r="H52" s="41" t="s">
        <v>45</v>
      </c>
      <c r="I52" s="39"/>
      <c r="J52" s="5"/>
      <c r="K52" s="5"/>
      <c r="L52" s="5"/>
      <c r="M52" s="5"/>
      <c r="N52" s="5"/>
      <c r="O52" s="5"/>
      <c r="P52" s="5"/>
      <c r="Q52" s="5"/>
      <c r="R52" s="5"/>
      <c r="S52" s="5"/>
      <c r="T52" s="5"/>
      <c r="U52" s="5"/>
      <c r="V52" s="5"/>
      <c r="W52" s="5"/>
      <c r="X52" s="5"/>
      <c r="Y52" s="5"/>
      <c r="Z52" s="5"/>
    </row>
    <row r="53" ht="15.75" customHeight="1">
      <c r="A53" s="42" t="s">
        <v>543</v>
      </c>
      <c r="B53" s="43" t="s">
        <v>544</v>
      </c>
      <c r="C53" s="45" t="s">
        <v>53</v>
      </c>
      <c r="D53" s="44" t="s">
        <v>41</v>
      </c>
      <c r="E53" s="43" t="s">
        <v>545</v>
      </c>
      <c r="F53" s="43" t="s">
        <v>546</v>
      </c>
      <c r="G53" s="52" t="s">
        <v>547</v>
      </c>
      <c r="H53" s="44" t="s">
        <v>45</v>
      </c>
      <c r="I53" s="43"/>
      <c r="J53" s="5"/>
      <c r="K53" s="5"/>
      <c r="L53" s="5"/>
      <c r="M53" s="5"/>
      <c r="N53" s="5"/>
      <c r="O53" s="5"/>
      <c r="P53" s="5"/>
      <c r="Q53" s="5"/>
      <c r="R53" s="5"/>
      <c r="S53" s="5"/>
      <c r="T53" s="5"/>
      <c r="U53" s="5"/>
      <c r="V53" s="5"/>
      <c r="W53" s="5"/>
      <c r="X53" s="5"/>
      <c r="Y53" s="5"/>
      <c r="Z53" s="5"/>
    </row>
    <row r="54" ht="15.75" customHeight="1">
      <c r="A54" s="38" t="s">
        <v>548</v>
      </c>
      <c r="B54" s="39" t="s">
        <v>549</v>
      </c>
      <c r="C54" s="45" t="s">
        <v>53</v>
      </c>
      <c r="D54" s="41" t="s">
        <v>41</v>
      </c>
      <c r="E54" s="39" t="s">
        <v>550</v>
      </c>
      <c r="F54" s="39" t="s">
        <v>551</v>
      </c>
      <c r="G54" s="39" t="s">
        <v>552</v>
      </c>
      <c r="H54" s="41" t="s">
        <v>45</v>
      </c>
      <c r="I54" s="39" t="s">
        <v>553</v>
      </c>
      <c r="J54" s="5"/>
      <c r="K54" s="5"/>
      <c r="L54" s="5"/>
      <c r="M54" s="5"/>
      <c r="N54" s="5"/>
      <c r="O54" s="5"/>
      <c r="P54" s="5"/>
      <c r="Q54" s="5"/>
      <c r="R54" s="5"/>
      <c r="S54" s="5"/>
      <c r="T54" s="5"/>
      <c r="U54" s="5"/>
      <c r="V54" s="5"/>
      <c r="W54" s="5"/>
      <c r="X54" s="5"/>
      <c r="Y54" s="5"/>
      <c r="Z54" s="5"/>
    </row>
    <row r="55" ht="15.75" customHeight="1">
      <c r="A55" s="38" t="s">
        <v>554</v>
      </c>
      <c r="B55" s="39" t="s">
        <v>555</v>
      </c>
      <c r="C55" s="45" t="s">
        <v>53</v>
      </c>
      <c r="D55" s="41" t="s">
        <v>41</v>
      </c>
      <c r="E55" s="39" t="s">
        <v>556</v>
      </c>
      <c r="F55" s="39" t="s">
        <v>557</v>
      </c>
      <c r="G55" s="39" t="s">
        <v>558</v>
      </c>
      <c r="H55" s="41" t="s">
        <v>45</v>
      </c>
      <c r="I55" s="39" t="s">
        <v>559</v>
      </c>
      <c r="J55" s="5"/>
      <c r="K55" s="5"/>
      <c r="L55" s="5"/>
      <c r="M55" s="5"/>
      <c r="N55" s="5"/>
      <c r="O55" s="5"/>
      <c r="P55" s="5"/>
      <c r="Q55" s="5"/>
      <c r="R55" s="5"/>
      <c r="S55" s="5"/>
      <c r="T55" s="5"/>
      <c r="U55" s="5"/>
      <c r="V55" s="5"/>
      <c r="W55" s="5"/>
      <c r="X55" s="5"/>
      <c r="Y55" s="5"/>
      <c r="Z55" s="5"/>
    </row>
    <row r="56" ht="15.75" customHeight="1">
      <c r="A56" s="42" t="s">
        <v>560</v>
      </c>
      <c r="B56" s="43" t="s">
        <v>561</v>
      </c>
      <c r="C56" s="45" t="s">
        <v>53</v>
      </c>
      <c r="D56" s="44" t="s">
        <v>41</v>
      </c>
      <c r="E56" s="43" t="s">
        <v>562</v>
      </c>
      <c r="F56" s="43" t="s">
        <v>563</v>
      </c>
      <c r="G56" s="43" t="s">
        <v>564</v>
      </c>
      <c r="H56" s="44" t="s">
        <v>45</v>
      </c>
      <c r="I56" s="43"/>
      <c r="J56" s="5"/>
      <c r="K56" s="5"/>
      <c r="L56" s="5"/>
      <c r="M56" s="5"/>
      <c r="N56" s="5"/>
      <c r="O56" s="5"/>
      <c r="P56" s="5"/>
      <c r="Q56" s="5"/>
      <c r="R56" s="5"/>
      <c r="S56" s="5"/>
      <c r="T56" s="5"/>
      <c r="U56" s="5"/>
      <c r="V56" s="5"/>
      <c r="W56" s="5"/>
      <c r="X56" s="5"/>
      <c r="Y56" s="5"/>
      <c r="Z56" s="5"/>
    </row>
    <row r="57" ht="15.75" customHeight="1">
      <c r="A57" s="38" t="s">
        <v>565</v>
      </c>
      <c r="B57" s="39" t="s">
        <v>566</v>
      </c>
      <c r="C57" s="40" t="s">
        <v>40</v>
      </c>
      <c r="D57" s="41" t="s">
        <v>41</v>
      </c>
      <c r="E57" s="39" t="s">
        <v>567</v>
      </c>
      <c r="F57" s="39" t="s">
        <v>568</v>
      </c>
      <c r="G57" s="39" t="s">
        <v>569</v>
      </c>
      <c r="H57" s="41" t="s">
        <v>45</v>
      </c>
      <c r="I57" s="39"/>
      <c r="J57" s="5"/>
      <c r="K57" s="5"/>
      <c r="L57" s="5"/>
      <c r="M57" s="5"/>
      <c r="N57" s="5"/>
      <c r="O57" s="5"/>
      <c r="P57" s="5"/>
      <c r="Q57" s="5"/>
      <c r="R57" s="5"/>
      <c r="S57" s="5"/>
      <c r="T57" s="5"/>
      <c r="U57" s="5"/>
      <c r="V57" s="5"/>
      <c r="W57" s="5"/>
      <c r="X57" s="5"/>
      <c r="Y57" s="5"/>
      <c r="Z57" s="5"/>
    </row>
    <row r="58" ht="15.75" customHeight="1">
      <c r="A58" s="42" t="s">
        <v>570</v>
      </c>
      <c r="B58" s="43" t="s">
        <v>571</v>
      </c>
      <c r="C58" s="40" t="s">
        <v>40</v>
      </c>
      <c r="D58" s="44" t="s">
        <v>41</v>
      </c>
      <c r="E58" s="43" t="s">
        <v>572</v>
      </c>
      <c r="F58" s="43" t="s">
        <v>573</v>
      </c>
      <c r="G58" s="43" t="s">
        <v>574</v>
      </c>
      <c r="H58" s="44" t="s">
        <v>45</v>
      </c>
      <c r="I58" s="51"/>
      <c r="J58" s="5"/>
      <c r="K58" s="5"/>
      <c r="L58" s="5"/>
      <c r="M58" s="5"/>
      <c r="N58" s="5"/>
      <c r="O58" s="5"/>
      <c r="P58" s="5"/>
      <c r="Q58" s="5"/>
      <c r="R58" s="5"/>
      <c r="S58" s="5"/>
      <c r="T58" s="5"/>
      <c r="U58" s="5"/>
      <c r="V58" s="5"/>
      <c r="W58" s="5"/>
      <c r="X58" s="5"/>
      <c r="Y58" s="5"/>
      <c r="Z58" s="5"/>
    </row>
    <row r="59" ht="15.75" customHeight="1">
      <c r="A59" s="38" t="s">
        <v>575</v>
      </c>
      <c r="B59" s="39" t="s">
        <v>576</v>
      </c>
      <c r="C59" s="40" t="s">
        <v>40</v>
      </c>
      <c r="D59" s="41" t="s">
        <v>41</v>
      </c>
      <c r="E59" s="39" t="s">
        <v>577</v>
      </c>
      <c r="F59" s="39" t="s">
        <v>578</v>
      </c>
      <c r="G59" s="39" t="s">
        <v>579</v>
      </c>
      <c r="H59" s="41" t="s">
        <v>45</v>
      </c>
      <c r="I59" s="39" t="s">
        <v>580</v>
      </c>
      <c r="J59" s="5"/>
      <c r="K59" s="5"/>
      <c r="L59" s="5"/>
      <c r="M59" s="5"/>
      <c r="N59" s="5"/>
      <c r="O59" s="5"/>
      <c r="P59" s="5"/>
      <c r="Q59" s="5"/>
      <c r="R59" s="5"/>
      <c r="S59" s="5"/>
      <c r="T59" s="5"/>
      <c r="U59" s="5"/>
      <c r="V59" s="5"/>
      <c r="W59" s="5"/>
      <c r="X59" s="5"/>
      <c r="Y59" s="5"/>
      <c r="Z59" s="5"/>
    </row>
    <row r="60" ht="15.75" customHeight="1">
      <c r="A60" s="38" t="s">
        <v>581</v>
      </c>
      <c r="B60" s="39" t="s">
        <v>582</v>
      </c>
      <c r="C60" s="45" t="s">
        <v>53</v>
      </c>
      <c r="D60" s="41" t="s">
        <v>41</v>
      </c>
      <c r="E60" s="39" t="s">
        <v>583</v>
      </c>
      <c r="F60" s="39" t="s">
        <v>584</v>
      </c>
      <c r="G60" s="39" t="s">
        <v>585</v>
      </c>
      <c r="H60" s="41" t="s">
        <v>45</v>
      </c>
      <c r="I60" s="39"/>
      <c r="J60" s="5"/>
      <c r="K60" s="5"/>
      <c r="L60" s="5"/>
      <c r="M60" s="5"/>
      <c r="N60" s="5"/>
      <c r="O60" s="5"/>
      <c r="P60" s="5"/>
      <c r="Q60" s="5"/>
      <c r="R60" s="5"/>
      <c r="S60" s="5"/>
      <c r="T60" s="5"/>
      <c r="U60" s="5"/>
      <c r="V60" s="5"/>
      <c r="W60" s="5"/>
      <c r="X60" s="5"/>
      <c r="Y60" s="5"/>
      <c r="Z60" s="5"/>
    </row>
    <row r="61" ht="15.75" customHeight="1">
      <c r="A61" s="42" t="s">
        <v>586</v>
      </c>
      <c r="B61" s="43" t="s">
        <v>587</v>
      </c>
      <c r="C61" s="40" t="s">
        <v>40</v>
      </c>
      <c r="D61" s="44" t="s">
        <v>41</v>
      </c>
      <c r="E61" s="43" t="s">
        <v>588</v>
      </c>
      <c r="F61" s="43" t="s">
        <v>589</v>
      </c>
      <c r="G61" s="43" t="s">
        <v>590</v>
      </c>
      <c r="H61" s="44" t="s">
        <v>45</v>
      </c>
      <c r="I61" s="43" t="s">
        <v>591</v>
      </c>
      <c r="J61" s="5"/>
      <c r="K61" s="5"/>
      <c r="L61" s="5"/>
      <c r="M61" s="5"/>
      <c r="N61" s="5"/>
      <c r="O61" s="5"/>
      <c r="P61" s="5"/>
      <c r="Q61" s="5"/>
      <c r="R61" s="5"/>
      <c r="S61" s="5"/>
      <c r="T61" s="5"/>
      <c r="U61" s="5"/>
      <c r="V61" s="5"/>
      <c r="W61" s="5"/>
      <c r="X61" s="5"/>
      <c r="Y61" s="5"/>
      <c r="Z61" s="5"/>
    </row>
    <row r="62" ht="15.75" customHeight="1">
      <c r="A62" s="38" t="s">
        <v>592</v>
      </c>
      <c r="B62" s="39" t="s">
        <v>593</v>
      </c>
      <c r="C62" s="45" t="s">
        <v>53</v>
      </c>
      <c r="D62" s="41" t="s">
        <v>360</v>
      </c>
      <c r="E62" s="39" t="s">
        <v>594</v>
      </c>
      <c r="F62" s="39" t="s">
        <v>595</v>
      </c>
      <c r="G62" s="39" t="s">
        <v>596</v>
      </c>
      <c r="H62" s="41" t="s">
        <v>45</v>
      </c>
      <c r="I62" s="39" t="s">
        <v>597</v>
      </c>
      <c r="J62" s="5"/>
      <c r="K62" s="5"/>
      <c r="L62" s="5"/>
      <c r="M62" s="5"/>
      <c r="N62" s="5"/>
      <c r="O62" s="5"/>
      <c r="P62" s="5"/>
      <c r="Q62" s="5"/>
      <c r="R62" s="5"/>
      <c r="S62" s="5"/>
      <c r="T62" s="5"/>
      <c r="U62" s="5"/>
      <c r="V62" s="5"/>
      <c r="W62" s="5"/>
      <c r="X62" s="5"/>
      <c r="Y62" s="5"/>
      <c r="Z62" s="5"/>
    </row>
    <row r="63" ht="15.75" customHeight="1">
      <c r="A63" s="42" t="s">
        <v>598</v>
      </c>
      <c r="B63" s="43" t="s">
        <v>599</v>
      </c>
      <c r="C63" s="40" t="s">
        <v>40</v>
      </c>
      <c r="D63" s="44" t="s">
        <v>41</v>
      </c>
      <c r="E63" s="43" t="s">
        <v>600</v>
      </c>
      <c r="F63" s="43" t="s">
        <v>601</v>
      </c>
      <c r="G63" s="43" t="s">
        <v>602</v>
      </c>
      <c r="H63" s="44" t="s">
        <v>45</v>
      </c>
      <c r="I63" s="43" t="s">
        <v>603</v>
      </c>
      <c r="J63" s="5"/>
      <c r="K63" s="5"/>
      <c r="L63" s="5"/>
      <c r="M63" s="5"/>
      <c r="N63" s="5"/>
      <c r="O63" s="5"/>
      <c r="P63" s="5"/>
      <c r="Q63" s="5"/>
      <c r="R63" s="5"/>
      <c r="S63" s="5"/>
      <c r="T63" s="5"/>
      <c r="U63" s="5"/>
      <c r="V63" s="5"/>
      <c r="W63" s="5"/>
      <c r="X63" s="5"/>
      <c r="Y63" s="5"/>
      <c r="Z63" s="5"/>
    </row>
    <row r="64" ht="15.75" customHeight="1">
      <c r="A64" s="38" t="s">
        <v>604</v>
      </c>
      <c r="B64" s="39" t="s">
        <v>605</v>
      </c>
      <c r="C64" s="40" t="s">
        <v>40</v>
      </c>
      <c r="D64" s="41" t="s">
        <v>41</v>
      </c>
      <c r="E64" s="39" t="s">
        <v>606</v>
      </c>
      <c r="F64" s="39" t="s">
        <v>607</v>
      </c>
      <c r="G64" s="39" t="s">
        <v>608</v>
      </c>
      <c r="H64" s="41" t="s">
        <v>45</v>
      </c>
      <c r="I64" s="39"/>
      <c r="J64" s="5"/>
      <c r="K64" s="5"/>
      <c r="L64" s="5"/>
      <c r="M64" s="5"/>
      <c r="N64" s="5"/>
      <c r="O64" s="5"/>
      <c r="P64" s="5"/>
      <c r="Q64" s="5"/>
      <c r="R64" s="5"/>
      <c r="S64" s="5"/>
      <c r="T64" s="5"/>
      <c r="U64" s="5"/>
      <c r="V64" s="5"/>
      <c r="W64" s="5"/>
      <c r="X64" s="5"/>
      <c r="Y64" s="5"/>
      <c r="Z64" s="5"/>
    </row>
    <row r="65" ht="15.75" customHeight="1">
      <c r="A65" s="42" t="s">
        <v>609</v>
      </c>
      <c r="B65" s="43" t="s">
        <v>610</v>
      </c>
      <c r="C65" s="40" t="s">
        <v>40</v>
      </c>
      <c r="D65" s="44" t="s">
        <v>41</v>
      </c>
      <c r="E65" s="43" t="s">
        <v>611</v>
      </c>
      <c r="F65" s="43" t="s">
        <v>612</v>
      </c>
      <c r="G65" s="43" t="s">
        <v>613</v>
      </c>
      <c r="H65" s="44" t="s">
        <v>45</v>
      </c>
      <c r="I65" s="43" t="s">
        <v>614</v>
      </c>
      <c r="J65" s="5"/>
      <c r="K65" s="5"/>
      <c r="L65" s="5"/>
      <c r="M65" s="5"/>
      <c r="N65" s="5"/>
      <c r="O65" s="5"/>
      <c r="P65" s="5"/>
      <c r="Q65" s="5"/>
      <c r="R65" s="5"/>
      <c r="S65" s="5"/>
      <c r="T65" s="5"/>
      <c r="U65" s="5"/>
      <c r="V65" s="5"/>
      <c r="W65" s="5"/>
      <c r="X65" s="5"/>
      <c r="Y65" s="5"/>
      <c r="Z65" s="5"/>
    </row>
    <row r="66" ht="15.75" customHeight="1">
      <c r="A66" s="38" t="s">
        <v>615</v>
      </c>
      <c r="B66" s="39" t="s">
        <v>616</v>
      </c>
      <c r="C66" s="40" t="s">
        <v>40</v>
      </c>
      <c r="D66" s="41" t="s">
        <v>41</v>
      </c>
      <c r="E66" s="39" t="s">
        <v>617</v>
      </c>
      <c r="F66" s="39" t="s">
        <v>618</v>
      </c>
      <c r="G66" s="39" t="s">
        <v>619</v>
      </c>
      <c r="H66" s="41" t="s">
        <v>45</v>
      </c>
      <c r="I66" s="39"/>
      <c r="J66" s="5"/>
      <c r="K66" s="5"/>
      <c r="L66" s="5"/>
      <c r="M66" s="5"/>
      <c r="N66" s="5"/>
      <c r="O66" s="5"/>
      <c r="P66" s="5"/>
      <c r="Q66" s="5"/>
      <c r="R66" s="5"/>
      <c r="S66" s="5"/>
      <c r="T66" s="5"/>
      <c r="U66" s="5"/>
      <c r="V66" s="5"/>
      <c r="W66" s="5"/>
      <c r="X66" s="5"/>
      <c r="Y66" s="5"/>
      <c r="Z66" s="5"/>
    </row>
    <row r="67" ht="15.75" customHeight="1">
      <c r="A67" s="42" t="s">
        <v>620</v>
      </c>
      <c r="B67" s="43" t="s">
        <v>621</v>
      </c>
      <c r="C67" s="40" t="s">
        <v>40</v>
      </c>
      <c r="D67" s="44" t="s">
        <v>41</v>
      </c>
      <c r="E67" s="43" t="s">
        <v>622</v>
      </c>
      <c r="F67" s="43" t="s">
        <v>623</v>
      </c>
      <c r="G67" s="43" t="s">
        <v>624</v>
      </c>
      <c r="H67" s="44" t="s">
        <v>45</v>
      </c>
      <c r="I67" s="43" t="s">
        <v>625</v>
      </c>
      <c r="J67" s="5"/>
      <c r="K67" s="5"/>
      <c r="L67" s="5"/>
      <c r="M67" s="5"/>
      <c r="N67" s="5"/>
      <c r="O67" s="5"/>
      <c r="P67" s="5"/>
      <c r="Q67" s="5"/>
      <c r="R67" s="5"/>
      <c r="S67" s="5"/>
      <c r="T67" s="5"/>
      <c r="U67" s="5"/>
      <c r="V67" s="5"/>
      <c r="W67" s="5"/>
      <c r="X67" s="5"/>
      <c r="Y67" s="5"/>
      <c r="Z67" s="5"/>
    </row>
    <row r="68" ht="15.75" customHeight="1">
      <c r="A68" s="38" t="s">
        <v>626</v>
      </c>
      <c r="B68" s="39" t="s">
        <v>627</v>
      </c>
      <c r="C68" s="40" t="s">
        <v>40</v>
      </c>
      <c r="D68" s="41" t="s">
        <v>41</v>
      </c>
      <c r="E68" s="39" t="s">
        <v>628</v>
      </c>
      <c r="F68" s="39" t="s">
        <v>629</v>
      </c>
      <c r="G68" s="39" t="s">
        <v>630</v>
      </c>
      <c r="H68" s="41" t="s">
        <v>45</v>
      </c>
      <c r="I68" s="39" t="s">
        <v>631</v>
      </c>
      <c r="J68" s="5"/>
      <c r="K68" s="5"/>
      <c r="L68" s="5"/>
      <c r="M68" s="5"/>
      <c r="N68" s="5"/>
      <c r="O68" s="5"/>
      <c r="P68" s="5"/>
      <c r="Q68" s="5"/>
      <c r="R68" s="5"/>
      <c r="S68" s="5"/>
      <c r="T68" s="5"/>
      <c r="U68" s="5"/>
      <c r="V68" s="5"/>
      <c r="W68" s="5"/>
      <c r="X68" s="5"/>
      <c r="Y68" s="5"/>
      <c r="Z68" s="5"/>
    </row>
    <row r="69" ht="15.75" customHeight="1">
      <c r="A69" s="42" t="s">
        <v>632</v>
      </c>
      <c r="B69" s="43" t="s">
        <v>633</v>
      </c>
      <c r="C69" s="40" t="s">
        <v>40</v>
      </c>
      <c r="D69" s="44" t="s">
        <v>41</v>
      </c>
      <c r="E69" s="43" t="s">
        <v>634</v>
      </c>
      <c r="F69" s="43" t="s">
        <v>635</v>
      </c>
      <c r="G69" s="43" t="s">
        <v>636</v>
      </c>
      <c r="H69" s="44" t="s">
        <v>45</v>
      </c>
      <c r="I69" s="43" t="s">
        <v>637</v>
      </c>
      <c r="J69" s="5"/>
      <c r="K69" s="5"/>
      <c r="L69" s="5"/>
      <c r="M69" s="5"/>
      <c r="N69" s="5"/>
      <c r="O69" s="5"/>
      <c r="P69" s="5"/>
      <c r="Q69" s="5"/>
      <c r="R69" s="5"/>
      <c r="S69" s="5"/>
      <c r="T69" s="5"/>
      <c r="U69" s="5"/>
      <c r="V69" s="5"/>
      <c r="W69" s="5"/>
      <c r="X69" s="5"/>
      <c r="Y69" s="5"/>
      <c r="Z69" s="5"/>
    </row>
    <row r="70" ht="15.75" customHeight="1">
      <c r="A70" s="38" t="s">
        <v>638</v>
      </c>
      <c r="B70" s="39" t="s">
        <v>639</v>
      </c>
      <c r="C70" s="40" t="s">
        <v>40</v>
      </c>
      <c r="D70" s="41" t="s">
        <v>41</v>
      </c>
      <c r="E70" s="39" t="s">
        <v>640</v>
      </c>
      <c r="F70" s="39" t="s">
        <v>641</v>
      </c>
      <c r="G70" s="39" t="s">
        <v>642</v>
      </c>
      <c r="H70" s="41" t="s">
        <v>45</v>
      </c>
      <c r="I70" s="39" t="s">
        <v>643</v>
      </c>
      <c r="J70" s="5"/>
      <c r="K70" s="5"/>
      <c r="L70" s="5"/>
      <c r="M70" s="5"/>
      <c r="N70" s="5"/>
      <c r="O70" s="5"/>
      <c r="P70" s="5"/>
      <c r="Q70" s="5"/>
      <c r="R70" s="5"/>
      <c r="S70" s="5"/>
      <c r="T70" s="5"/>
      <c r="U70" s="5"/>
      <c r="V70" s="5"/>
      <c r="W70" s="5"/>
      <c r="X70" s="5"/>
      <c r="Y70" s="5"/>
      <c r="Z70" s="5"/>
    </row>
    <row r="71" ht="15.75" customHeight="1">
      <c r="A71" s="42" t="s">
        <v>644</v>
      </c>
      <c r="B71" s="43" t="s">
        <v>645</v>
      </c>
      <c r="C71" s="40" t="s">
        <v>40</v>
      </c>
      <c r="D71" s="44" t="s">
        <v>41</v>
      </c>
      <c r="E71" s="43" t="s">
        <v>646</v>
      </c>
      <c r="F71" s="43" t="s">
        <v>647</v>
      </c>
      <c r="G71" s="43" t="s">
        <v>648</v>
      </c>
      <c r="H71" s="44" t="s">
        <v>45</v>
      </c>
      <c r="I71" s="43"/>
      <c r="J71" s="5"/>
      <c r="K71" s="5"/>
      <c r="L71" s="5"/>
      <c r="M71" s="5"/>
      <c r="N71" s="5"/>
      <c r="O71" s="5"/>
      <c r="P71" s="5"/>
      <c r="Q71" s="5"/>
      <c r="R71" s="5"/>
      <c r="S71" s="5"/>
      <c r="T71" s="5"/>
      <c r="U71" s="5"/>
      <c r="V71" s="5"/>
      <c r="W71" s="5"/>
      <c r="X71" s="5"/>
      <c r="Y71" s="5"/>
      <c r="Z71" s="5"/>
    </row>
    <row r="72" ht="15.75" customHeight="1">
      <c r="A72" s="38" t="s">
        <v>649</v>
      </c>
      <c r="B72" s="39" t="s">
        <v>650</v>
      </c>
      <c r="C72" s="40" t="s">
        <v>40</v>
      </c>
      <c r="D72" s="41" t="s">
        <v>41</v>
      </c>
      <c r="E72" s="39" t="s">
        <v>651</v>
      </c>
      <c r="F72" s="39" t="s">
        <v>652</v>
      </c>
      <c r="G72" s="39" t="s">
        <v>653</v>
      </c>
      <c r="H72" s="41" t="s">
        <v>45</v>
      </c>
      <c r="I72" s="39"/>
      <c r="J72" s="5"/>
      <c r="K72" s="5"/>
      <c r="L72" s="5"/>
      <c r="M72" s="5"/>
      <c r="N72" s="5"/>
      <c r="O72" s="5"/>
      <c r="P72" s="5"/>
      <c r="Q72" s="5"/>
      <c r="R72" s="5"/>
      <c r="S72" s="5"/>
      <c r="T72" s="5"/>
      <c r="U72" s="5"/>
      <c r="V72" s="5"/>
      <c r="W72" s="5"/>
      <c r="X72" s="5"/>
      <c r="Y72" s="5"/>
      <c r="Z72" s="5"/>
    </row>
    <row r="73" ht="15.75" customHeight="1">
      <c r="A73" s="38" t="s">
        <v>654</v>
      </c>
      <c r="B73" s="39" t="s">
        <v>655</v>
      </c>
      <c r="C73" s="40" t="s">
        <v>40</v>
      </c>
      <c r="D73" s="41" t="s">
        <v>41</v>
      </c>
      <c r="E73" s="39" t="s">
        <v>656</v>
      </c>
      <c r="F73" s="39" t="s">
        <v>657</v>
      </c>
      <c r="G73" s="39" t="s">
        <v>658</v>
      </c>
      <c r="H73" s="41" t="s">
        <v>45</v>
      </c>
      <c r="I73" s="39"/>
      <c r="J73" s="5"/>
      <c r="K73" s="5"/>
      <c r="L73" s="5"/>
      <c r="M73" s="5"/>
      <c r="N73" s="5"/>
      <c r="O73" s="5"/>
      <c r="P73" s="5"/>
      <c r="Q73" s="5"/>
      <c r="R73" s="5"/>
      <c r="S73" s="5"/>
      <c r="T73" s="5"/>
      <c r="U73" s="5"/>
      <c r="V73" s="5"/>
      <c r="W73" s="5"/>
      <c r="X73" s="5"/>
      <c r="Y73" s="5"/>
      <c r="Z73" s="5"/>
    </row>
    <row r="74" ht="15.75" customHeight="1">
      <c r="A74" s="42" t="s">
        <v>659</v>
      </c>
      <c r="B74" s="43" t="s">
        <v>660</v>
      </c>
      <c r="C74" s="40" t="s">
        <v>40</v>
      </c>
      <c r="D74" s="44" t="s">
        <v>41</v>
      </c>
      <c r="E74" s="43" t="s">
        <v>661</v>
      </c>
      <c r="F74" s="43" t="s">
        <v>662</v>
      </c>
      <c r="G74" s="43" t="s">
        <v>663</v>
      </c>
      <c r="H74" s="44" t="s">
        <v>45</v>
      </c>
      <c r="I74" s="43"/>
      <c r="J74" s="5"/>
      <c r="K74" s="5"/>
      <c r="L74" s="5"/>
      <c r="M74" s="5"/>
      <c r="N74" s="5"/>
      <c r="O74" s="5"/>
      <c r="P74" s="5"/>
      <c r="Q74" s="5"/>
      <c r="R74" s="5"/>
      <c r="S74" s="5"/>
      <c r="T74" s="5"/>
      <c r="U74" s="5"/>
      <c r="V74" s="5"/>
      <c r="W74" s="5"/>
      <c r="X74" s="5"/>
      <c r="Y74" s="5"/>
      <c r="Z74" s="5"/>
    </row>
    <row r="75" ht="15.75" customHeight="1">
      <c r="A75" s="38" t="s">
        <v>664</v>
      </c>
      <c r="B75" s="39" t="s">
        <v>665</v>
      </c>
      <c r="C75" s="40" t="s">
        <v>40</v>
      </c>
      <c r="D75" s="41" t="s">
        <v>41</v>
      </c>
      <c r="E75" s="39" t="s">
        <v>666</v>
      </c>
      <c r="F75" s="39" t="s">
        <v>667</v>
      </c>
      <c r="G75" s="39" t="s">
        <v>668</v>
      </c>
      <c r="H75" s="41" t="s">
        <v>45</v>
      </c>
      <c r="I75" s="39"/>
      <c r="J75" s="5"/>
      <c r="K75" s="5"/>
      <c r="L75" s="5"/>
      <c r="M75" s="5"/>
      <c r="N75" s="5"/>
      <c r="O75" s="5"/>
      <c r="P75" s="5"/>
      <c r="Q75" s="5"/>
      <c r="R75" s="5"/>
      <c r="S75" s="5"/>
      <c r="T75" s="5"/>
      <c r="U75" s="5"/>
      <c r="V75" s="5"/>
      <c r="W75" s="5"/>
      <c r="X75" s="5"/>
      <c r="Y75" s="5"/>
      <c r="Z75" s="5"/>
    </row>
    <row r="76" ht="15.75" customHeight="1">
      <c r="A76" s="42" t="s">
        <v>669</v>
      </c>
      <c r="B76" s="43" t="s">
        <v>670</v>
      </c>
      <c r="C76" s="45" t="s">
        <v>53</v>
      </c>
      <c r="D76" s="44" t="s">
        <v>41</v>
      </c>
      <c r="E76" s="43" t="s">
        <v>671</v>
      </c>
      <c r="F76" s="43" t="s">
        <v>672</v>
      </c>
      <c r="G76" s="43" t="s">
        <v>673</v>
      </c>
      <c r="H76" s="44" t="s">
        <v>45</v>
      </c>
      <c r="I76" s="43"/>
      <c r="J76" s="5"/>
      <c r="K76" s="5"/>
      <c r="L76" s="5"/>
      <c r="M76" s="5"/>
      <c r="N76" s="5"/>
      <c r="O76" s="5"/>
      <c r="P76" s="5"/>
      <c r="Q76" s="5"/>
      <c r="R76" s="5"/>
      <c r="S76" s="5"/>
      <c r="T76" s="5"/>
      <c r="U76" s="5"/>
      <c r="V76" s="5"/>
      <c r="W76" s="5"/>
      <c r="X76" s="5"/>
      <c r="Y76" s="5"/>
      <c r="Z76" s="5"/>
    </row>
    <row r="77" ht="15.75" customHeight="1">
      <c r="A77" s="38" t="s">
        <v>674</v>
      </c>
      <c r="B77" s="39" t="s">
        <v>675</v>
      </c>
      <c r="C77" s="40" t="s">
        <v>40</v>
      </c>
      <c r="D77" s="41" t="s">
        <v>41</v>
      </c>
      <c r="E77" s="39" t="s">
        <v>676</v>
      </c>
      <c r="F77" s="39" t="s">
        <v>677</v>
      </c>
      <c r="G77" s="39" t="s">
        <v>678</v>
      </c>
      <c r="H77" s="41" t="s">
        <v>45</v>
      </c>
      <c r="I77" s="39"/>
      <c r="J77" s="5"/>
      <c r="K77" s="5"/>
      <c r="L77" s="5"/>
      <c r="M77" s="5"/>
      <c r="N77" s="5"/>
      <c r="O77" s="5"/>
      <c r="P77" s="5"/>
      <c r="Q77" s="5"/>
      <c r="R77" s="5"/>
      <c r="S77" s="5"/>
      <c r="T77" s="5"/>
      <c r="U77" s="5"/>
      <c r="V77" s="5"/>
      <c r="W77" s="5"/>
      <c r="X77" s="5"/>
      <c r="Y77" s="5"/>
      <c r="Z77" s="5"/>
    </row>
    <row r="78" ht="15.75" customHeight="1">
      <c r="A78" s="38" t="s">
        <v>679</v>
      </c>
      <c r="B78" s="39" t="s">
        <v>680</v>
      </c>
      <c r="C78" s="40" t="s">
        <v>40</v>
      </c>
      <c r="D78" s="41" t="s">
        <v>41</v>
      </c>
      <c r="E78" s="39" t="s">
        <v>681</v>
      </c>
      <c r="F78" s="39" t="s">
        <v>682</v>
      </c>
      <c r="G78" s="39" t="s">
        <v>683</v>
      </c>
      <c r="H78" s="41" t="s">
        <v>45</v>
      </c>
      <c r="I78" s="39" t="s">
        <v>684</v>
      </c>
      <c r="J78" s="5"/>
      <c r="K78" s="5"/>
      <c r="L78" s="5"/>
      <c r="M78" s="5"/>
      <c r="N78" s="5"/>
      <c r="O78" s="5"/>
      <c r="P78" s="5"/>
      <c r="Q78" s="5"/>
      <c r="R78" s="5"/>
      <c r="S78" s="5"/>
      <c r="T78" s="5"/>
      <c r="U78" s="5"/>
      <c r="V78" s="5"/>
      <c r="W78" s="5"/>
      <c r="X78" s="5"/>
      <c r="Y78" s="5"/>
      <c r="Z78" s="5"/>
    </row>
    <row r="79" ht="15.75" customHeight="1">
      <c r="A79" s="42" t="s">
        <v>685</v>
      </c>
      <c r="B79" s="43" t="s">
        <v>686</v>
      </c>
      <c r="C79" s="40" t="s">
        <v>40</v>
      </c>
      <c r="D79" s="44" t="s">
        <v>41</v>
      </c>
      <c r="E79" s="43" t="s">
        <v>687</v>
      </c>
      <c r="F79" s="43" t="s">
        <v>688</v>
      </c>
      <c r="G79" s="43" t="s">
        <v>689</v>
      </c>
      <c r="H79" s="44" t="s">
        <v>45</v>
      </c>
      <c r="I79" s="43" t="s">
        <v>690</v>
      </c>
      <c r="J79" s="5"/>
      <c r="K79" s="5"/>
      <c r="L79" s="5"/>
      <c r="M79" s="5"/>
      <c r="N79" s="5"/>
      <c r="O79" s="5"/>
      <c r="P79" s="5"/>
      <c r="Q79" s="5"/>
      <c r="R79" s="5"/>
      <c r="S79" s="5"/>
      <c r="T79" s="5"/>
      <c r="U79" s="5"/>
      <c r="V79" s="5"/>
      <c r="W79" s="5"/>
      <c r="X79" s="5"/>
      <c r="Y79" s="5"/>
      <c r="Z79" s="5"/>
    </row>
    <row r="80" ht="15.75" customHeight="1">
      <c r="A80" s="38" t="s">
        <v>691</v>
      </c>
      <c r="B80" s="39" t="s">
        <v>692</v>
      </c>
      <c r="C80" s="40" t="s">
        <v>40</v>
      </c>
      <c r="D80" s="41" t="s">
        <v>41</v>
      </c>
      <c r="E80" s="39" t="s">
        <v>693</v>
      </c>
      <c r="F80" s="39" t="s">
        <v>694</v>
      </c>
      <c r="G80" s="39" t="s">
        <v>695</v>
      </c>
      <c r="H80" s="41" t="s">
        <v>45</v>
      </c>
      <c r="I80" s="39"/>
      <c r="J80" s="5"/>
      <c r="K80" s="5"/>
      <c r="L80" s="5"/>
      <c r="M80" s="5"/>
      <c r="N80" s="5"/>
      <c r="O80" s="5"/>
      <c r="P80" s="5"/>
      <c r="Q80" s="5"/>
      <c r="R80" s="5"/>
      <c r="S80" s="5"/>
      <c r="T80" s="5"/>
      <c r="U80" s="5"/>
      <c r="V80" s="5"/>
      <c r="W80" s="5"/>
      <c r="X80" s="5"/>
      <c r="Y80" s="5"/>
      <c r="Z80" s="5"/>
    </row>
    <row r="81" ht="15.75" customHeight="1">
      <c r="A81" s="42" t="s">
        <v>696</v>
      </c>
      <c r="B81" s="43" t="s">
        <v>697</v>
      </c>
      <c r="C81" s="45" t="s">
        <v>53</v>
      </c>
      <c r="D81" s="44" t="s">
        <v>41</v>
      </c>
      <c r="E81" s="53" t="s">
        <v>698</v>
      </c>
      <c r="F81" s="43" t="s">
        <v>699</v>
      </c>
      <c r="G81" s="43" t="s">
        <v>700</v>
      </c>
      <c r="H81" s="44" t="s">
        <v>45</v>
      </c>
      <c r="I81" s="43" t="s">
        <v>701</v>
      </c>
      <c r="J81" s="5"/>
      <c r="K81" s="5"/>
      <c r="L81" s="5"/>
      <c r="M81" s="5"/>
      <c r="N81" s="5"/>
      <c r="O81" s="5"/>
      <c r="P81" s="5"/>
      <c r="Q81" s="5"/>
      <c r="R81" s="5"/>
      <c r="S81" s="5"/>
      <c r="T81" s="5"/>
      <c r="U81" s="5"/>
      <c r="V81" s="5"/>
      <c r="W81" s="5"/>
      <c r="X81" s="5"/>
      <c r="Y81" s="5"/>
      <c r="Z81" s="5"/>
    </row>
    <row r="82" ht="90.75" customHeight="1">
      <c r="A82" s="38" t="s">
        <v>702</v>
      </c>
      <c r="B82" s="39" t="s">
        <v>703</v>
      </c>
      <c r="C82" s="40" t="s">
        <v>40</v>
      </c>
      <c r="D82" s="41" t="s">
        <v>41</v>
      </c>
      <c r="E82" s="39" t="s">
        <v>704</v>
      </c>
      <c r="F82" s="39" t="s">
        <v>705</v>
      </c>
      <c r="G82" s="39" t="s">
        <v>706</v>
      </c>
      <c r="H82" s="41" t="s">
        <v>45</v>
      </c>
      <c r="I82" s="39" t="s">
        <v>707</v>
      </c>
      <c r="J82" s="5"/>
      <c r="K82" s="5"/>
      <c r="L82" s="5"/>
      <c r="M82" s="5"/>
      <c r="N82" s="5"/>
      <c r="O82" s="5"/>
      <c r="P82" s="5"/>
      <c r="Q82" s="5"/>
      <c r="R82" s="5"/>
      <c r="S82" s="5"/>
      <c r="T82" s="5"/>
      <c r="U82" s="5"/>
      <c r="V82" s="5"/>
      <c r="W82" s="5"/>
      <c r="X82" s="5"/>
      <c r="Y82" s="5"/>
      <c r="Z82" s="5"/>
    </row>
    <row r="83" ht="90.75" customHeight="1">
      <c r="A83" s="42" t="s">
        <v>708</v>
      </c>
      <c r="B83" s="43" t="s">
        <v>709</v>
      </c>
      <c r="C83" s="40" t="s">
        <v>40</v>
      </c>
      <c r="D83" s="44" t="s">
        <v>41</v>
      </c>
      <c r="E83" s="53" t="s">
        <v>710</v>
      </c>
      <c r="F83" s="43" t="s">
        <v>711</v>
      </c>
      <c r="G83" s="43" t="s">
        <v>712</v>
      </c>
      <c r="H83" s="44" t="s">
        <v>45</v>
      </c>
      <c r="I83" s="43" t="s">
        <v>713</v>
      </c>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A1:I1"/>
    <mergeCell ref="A2:I2"/>
  </mergeCells>
  <conditionalFormatting sqref="A5:I53">
    <cfRule type="expression" dxfId="2" priority="1">
      <formula>$H5="Pass"</formula>
    </cfRule>
  </conditionalFormatting>
  <conditionalFormatting sqref="A5:I53">
    <cfRule type="expression" dxfId="1" priority="2">
      <formula>$H5="Fail"</formula>
    </cfRule>
  </conditionalFormatting>
  <conditionalFormatting sqref="A5:I53">
    <cfRule type="expression" dxfId="0" priority="3">
      <formula>$H5="Blocked"</formula>
    </cfRule>
  </conditionalFormatting>
  <conditionalFormatting sqref="A5:I58">
    <cfRule type="expression" dxfId="2" priority="4">
      <formula>$H5="Pass"</formula>
    </cfRule>
  </conditionalFormatting>
  <conditionalFormatting sqref="A5:I58">
    <cfRule type="expression" dxfId="1" priority="5">
      <formula>$H5="Fail"</formula>
    </cfRule>
  </conditionalFormatting>
  <conditionalFormatting sqref="A5:I58">
    <cfRule type="expression" dxfId="0" priority="6">
      <formula>$H5="Blocked"</formula>
    </cfRule>
  </conditionalFormatting>
  <conditionalFormatting sqref="A5:I63">
    <cfRule type="expression" dxfId="2" priority="7">
      <formula>$H5="Pass"</formula>
    </cfRule>
  </conditionalFormatting>
  <conditionalFormatting sqref="A5:I63">
    <cfRule type="expression" dxfId="1" priority="8">
      <formula>$H5="Fail"</formula>
    </cfRule>
  </conditionalFormatting>
  <conditionalFormatting sqref="A5:I63">
    <cfRule type="expression" dxfId="0" priority="9">
      <formula>$H5="Blocked"</formula>
    </cfRule>
  </conditionalFormatting>
  <conditionalFormatting sqref="A5:I63">
    <cfRule type="expression" dxfId="2" priority="10">
      <formula>$H5="Pass"</formula>
    </cfRule>
  </conditionalFormatting>
  <conditionalFormatting sqref="A5:I63">
    <cfRule type="expression" dxfId="1" priority="11">
      <formula>$H5="Fail"</formula>
    </cfRule>
  </conditionalFormatting>
  <conditionalFormatting sqref="A5:I63">
    <cfRule type="expression" dxfId="0" priority="12">
      <formula>$H5="Blocked"</formula>
    </cfRule>
  </conditionalFormatting>
  <conditionalFormatting sqref="A5:I60">
    <cfRule type="expression" dxfId="2" priority="13">
      <formula>$H5="Pass"</formula>
    </cfRule>
  </conditionalFormatting>
  <conditionalFormatting sqref="A5:I60">
    <cfRule type="expression" dxfId="1" priority="14">
      <formula>$H5="Fail"</formula>
    </cfRule>
  </conditionalFormatting>
  <conditionalFormatting sqref="A5:I60">
    <cfRule type="expression" dxfId="0" priority="15">
      <formula>$H5="Blocked"</formula>
    </cfRule>
  </conditionalFormatting>
  <conditionalFormatting sqref="A5:I69">
    <cfRule type="expression" dxfId="2" priority="16">
      <formula>$H5="Pass"</formula>
    </cfRule>
  </conditionalFormatting>
  <conditionalFormatting sqref="A5:I69">
    <cfRule type="expression" dxfId="1" priority="17">
      <formula>$H5="Fail"</formula>
    </cfRule>
  </conditionalFormatting>
  <conditionalFormatting sqref="A5:I69">
    <cfRule type="expression" dxfId="0" priority="18">
      <formula>$H5="Blocked"</formula>
    </cfRule>
  </conditionalFormatting>
  <conditionalFormatting sqref="A5:I77 C81">
    <cfRule type="expression" dxfId="2" priority="19">
      <formula>$H5="Pass"</formula>
    </cfRule>
  </conditionalFormatting>
  <conditionalFormatting sqref="A5:I77 C81">
    <cfRule type="expression" dxfId="1" priority="20">
      <formula>$H5="Fail"</formula>
    </cfRule>
  </conditionalFormatting>
  <conditionalFormatting sqref="A5:I77 C81">
    <cfRule type="expression" dxfId="0" priority="21">
      <formula>$H5="Blocked"</formula>
    </cfRule>
  </conditionalFormatting>
  <conditionalFormatting sqref="A5:I83">
    <cfRule type="expression" dxfId="2" priority="22">
      <formula>$H5="Pass"</formula>
    </cfRule>
  </conditionalFormatting>
  <conditionalFormatting sqref="A5:I83">
    <cfRule type="expression" dxfId="1" priority="23">
      <formula>$H5="Fail"</formula>
    </cfRule>
  </conditionalFormatting>
  <conditionalFormatting sqref="A5:I83">
    <cfRule type="expression" dxfId="0" priority="24">
      <formula>$H5="Blocked"</formula>
    </cfRule>
  </conditionalFormatting>
  <dataValidations>
    <dataValidation type="list" allowBlank="1" sqref="H5:H79">
      <formula1>"Pass,Fail,Blocked,Not Run"</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32.0"/>
    <col customWidth="1" min="3" max="3" width="10.0"/>
    <col customWidth="1" min="4" max="4" width="13.0"/>
    <col customWidth="1" min="5" max="5" width="30.0"/>
    <col customWidth="1" min="6" max="7" width="42.0"/>
    <col customWidth="1" min="8" max="8" width="12.0"/>
    <col customWidth="1" min="9" max="9" width="30.0"/>
  </cols>
  <sheetData>
    <row r="1" ht="31.5" customHeight="1">
      <c r="A1" s="54" t="s">
        <v>714</v>
      </c>
      <c r="B1" s="3"/>
      <c r="C1" s="3"/>
      <c r="D1" s="3"/>
      <c r="E1" s="3"/>
      <c r="F1" s="3"/>
      <c r="G1" s="3"/>
      <c r="H1" s="3"/>
      <c r="I1" s="4"/>
      <c r="J1" s="5"/>
      <c r="K1" s="5"/>
      <c r="L1" s="5"/>
      <c r="M1" s="5"/>
      <c r="N1" s="5"/>
      <c r="O1" s="5"/>
      <c r="P1" s="5"/>
      <c r="Q1" s="5"/>
      <c r="R1" s="5"/>
      <c r="S1" s="5"/>
      <c r="T1" s="5"/>
      <c r="U1" s="5"/>
      <c r="V1" s="5"/>
      <c r="W1" s="5"/>
      <c r="X1" s="5"/>
      <c r="Y1" s="5"/>
      <c r="Z1" s="5"/>
    </row>
    <row r="2" ht="15.75" customHeight="1">
      <c r="A2" s="55" t="s">
        <v>715</v>
      </c>
      <c r="B2" s="3"/>
      <c r="C2" s="3"/>
      <c r="D2" s="3"/>
      <c r="E2" s="3"/>
      <c r="F2" s="3"/>
      <c r="G2" s="3"/>
      <c r="H2" s="3"/>
      <c r="I2" s="4"/>
      <c r="J2" s="5"/>
      <c r="K2" s="5"/>
      <c r="L2" s="5"/>
      <c r="M2" s="5"/>
      <c r="N2" s="5"/>
      <c r="O2" s="5"/>
      <c r="P2" s="5"/>
      <c r="Q2" s="5"/>
      <c r="R2" s="5"/>
      <c r="S2" s="5"/>
      <c r="T2" s="5"/>
      <c r="U2" s="5"/>
      <c r="V2" s="5"/>
      <c r="W2" s="5"/>
      <c r="X2" s="5"/>
      <c r="Y2" s="5"/>
      <c r="Z2" s="5"/>
    </row>
    <row r="3" ht="7.5" customHeight="1">
      <c r="A3" s="1" t="s">
        <v>716</v>
      </c>
      <c r="B3" s="5"/>
      <c r="C3" s="5"/>
      <c r="D3" s="5"/>
      <c r="E3" s="5"/>
      <c r="F3" s="5"/>
      <c r="G3" s="5"/>
      <c r="H3" s="5"/>
      <c r="I3" s="5"/>
      <c r="J3" s="5"/>
      <c r="K3" s="5"/>
      <c r="L3" s="5"/>
      <c r="M3" s="5"/>
      <c r="N3" s="5"/>
      <c r="O3" s="5"/>
      <c r="P3" s="5"/>
      <c r="Q3" s="5"/>
      <c r="R3" s="5"/>
      <c r="S3" s="5"/>
      <c r="T3" s="5"/>
      <c r="U3" s="5"/>
      <c r="V3" s="5"/>
      <c r="W3" s="5"/>
      <c r="X3" s="5"/>
      <c r="Y3" s="5"/>
      <c r="Z3" s="5"/>
    </row>
    <row r="4" ht="21.75" customHeight="1">
      <c r="A4" s="37" t="s">
        <v>29</v>
      </c>
      <c r="B4" s="37" t="s">
        <v>30</v>
      </c>
      <c r="C4" s="37" t="s">
        <v>31</v>
      </c>
      <c r="D4" s="37" t="s">
        <v>32</v>
      </c>
      <c r="E4" s="37" t="s">
        <v>33</v>
      </c>
      <c r="F4" s="37" t="s">
        <v>34</v>
      </c>
      <c r="G4" s="37" t="s">
        <v>35</v>
      </c>
      <c r="H4" s="37" t="s">
        <v>36</v>
      </c>
      <c r="I4" s="37" t="s">
        <v>37</v>
      </c>
      <c r="J4" s="5"/>
      <c r="K4" s="5"/>
      <c r="L4" s="5"/>
      <c r="M4" s="5"/>
      <c r="N4" s="5"/>
      <c r="O4" s="5"/>
      <c r="P4" s="5"/>
      <c r="Q4" s="5"/>
      <c r="R4" s="5"/>
      <c r="S4" s="5"/>
      <c r="T4" s="5"/>
      <c r="U4" s="5"/>
      <c r="V4" s="5"/>
      <c r="W4" s="5"/>
      <c r="X4" s="5"/>
      <c r="Y4" s="5"/>
      <c r="Z4" s="5"/>
    </row>
    <row r="5">
      <c r="A5" s="38" t="s">
        <v>717</v>
      </c>
      <c r="B5" s="39" t="s">
        <v>718</v>
      </c>
      <c r="C5" s="40" t="s">
        <v>40</v>
      </c>
      <c r="D5" s="41" t="s">
        <v>41</v>
      </c>
      <c r="E5" s="39" t="s">
        <v>719</v>
      </c>
      <c r="F5" s="39" t="s">
        <v>720</v>
      </c>
      <c r="G5" s="39" t="s">
        <v>721</v>
      </c>
      <c r="H5" s="41" t="s">
        <v>45</v>
      </c>
      <c r="I5" s="39"/>
      <c r="J5" s="5"/>
      <c r="K5" s="5"/>
      <c r="L5" s="5"/>
      <c r="M5" s="5"/>
      <c r="N5" s="5"/>
      <c r="O5" s="5"/>
      <c r="P5" s="5"/>
      <c r="Q5" s="5"/>
      <c r="R5" s="5"/>
      <c r="S5" s="5"/>
      <c r="T5" s="5"/>
      <c r="U5" s="5"/>
      <c r="V5" s="5"/>
      <c r="W5" s="5"/>
      <c r="X5" s="5"/>
      <c r="Y5" s="5"/>
      <c r="Z5" s="5"/>
    </row>
    <row r="6">
      <c r="A6" s="42" t="s">
        <v>722</v>
      </c>
      <c r="B6" s="43" t="s">
        <v>723</v>
      </c>
      <c r="C6" s="40" t="s">
        <v>40</v>
      </c>
      <c r="D6" s="44" t="s">
        <v>41</v>
      </c>
      <c r="E6" s="43" t="s">
        <v>724</v>
      </c>
      <c r="F6" s="43" t="s">
        <v>725</v>
      </c>
      <c r="G6" s="43" t="s">
        <v>726</v>
      </c>
      <c r="H6" s="44" t="s">
        <v>45</v>
      </c>
      <c r="I6" s="43"/>
      <c r="J6" s="5"/>
      <c r="K6" s="5"/>
      <c r="L6" s="5"/>
      <c r="M6" s="5"/>
      <c r="N6" s="5"/>
      <c r="O6" s="5"/>
      <c r="P6" s="5"/>
      <c r="Q6" s="5"/>
      <c r="R6" s="5"/>
      <c r="S6" s="5"/>
      <c r="T6" s="5"/>
      <c r="U6" s="5"/>
      <c r="V6" s="5"/>
      <c r="W6" s="5"/>
      <c r="X6" s="5"/>
      <c r="Y6" s="5"/>
      <c r="Z6" s="5"/>
    </row>
    <row r="7">
      <c r="A7" s="38" t="s">
        <v>727</v>
      </c>
      <c r="B7" s="39" t="s">
        <v>728</v>
      </c>
      <c r="C7" s="40" t="s">
        <v>40</v>
      </c>
      <c r="D7" s="41" t="s">
        <v>41</v>
      </c>
      <c r="E7" s="39" t="s">
        <v>729</v>
      </c>
      <c r="F7" s="39" t="s">
        <v>730</v>
      </c>
      <c r="G7" s="39" t="s">
        <v>731</v>
      </c>
      <c r="H7" s="41" t="s">
        <v>45</v>
      </c>
      <c r="I7" s="50"/>
      <c r="J7" s="5"/>
      <c r="K7" s="5"/>
      <c r="L7" s="5"/>
      <c r="M7" s="5"/>
      <c r="N7" s="5"/>
      <c r="O7" s="5"/>
      <c r="P7" s="5"/>
      <c r="Q7" s="5"/>
      <c r="R7" s="5"/>
      <c r="S7" s="5"/>
      <c r="T7" s="5"/>
      <c r="U7" s="5"/>
      <c r="V7" s="5"/>
      <c r="W7" s="5"/>
      <c r="X7" s="5"/>
      <c r="Y7" s="5"/>
      <c r="Z7" s="5"/>
    </row>
    <row r="8">
      <c r="A8" s="42" t="s">
        <v>732</v>
      </c>
      <c r="B8" s="43" t="s">
        <v>733</v>
      </c>
      <c r="C8" s="45" t="s">
        <v>53</v>
      </c>
      <c r="D8" s="44" t="s">
        <v>41</v>
      </c>
      <c r="E8" s="43" t="s">
        <v>734</v>
      </c>
      <c r="F8" s="43" t="s">
        <v>735</v>
      </c>
      <c r="G8" s="43" t="s">
        <v>736</v>
      </c>
      <c r="H8" s="44" t="s">
        <v>45</v>
      </c>
      <c r="I8" s="51" t="s">
        <v>737</v>
      </c>
      <c r="J8" s="5"/>
      <c r="K8" s="5"/>
      <c r="L8" s="5"/>
      <c r="M8" s="5"/>
      <c r="N8" s="5"/>
      <c r="O8" s="5"/>
      <c r="P8" s="5"/>
      <c r="Q8" s="5"/>
      <c r="R8" s="5"/>
      <c r="S8" s="5"/>
      <c r="T8" s="5"/>
      <c r="U8" s="5"/>
      <c r="V8" s="5"/>
      <c r="W8" s="5"/>
      <c r="X8" s="5"/>
      <c r="Y8" s="5"/>
      <c r="Z8" s="5"/>
    </row>
    <row r="9">
      <c r="A9" s="38" t="s">
        <v>738</v>
      </c>
      <c r="B9" s="39" t="s">
        <v>739</v>
      </c>
      <c r="C9" s="40" t="s">
        <v>40</v>
      </c>
      <c r="D9" s="41" t="s">
        <v>41</v>
      </c>
      <c r="E9" s="39" t="s">
        <v>740</v>
      </c>
      <c r="F9" s="39" t="s">
        <v>741</v>
      </c>
      <c r="G9" s="39" t="s">
        <v>742</v>
      </c>
      <c r="H9" s="41" t="s">
        <v>45</v>
      </c>
      <c r="I9" s="39"/>
      <c r="J9" s="5"/>
      <c r="K9" s="5"/>
      <c r="L9" s="5"/>
      <c r="M9" s="5"/>
      <c r="N9" s="5"/>
      <c r="O9" s="5"/>
      <c r="P9" s="5"/>
      <c r="Q9" s="5"/>
      <c r="R9" s="5"/>
      <c r="S9" s="5"/>
      <c r="T9" s="5"/>
      <c r="U9" s="5"/>
      <c r="V9" s="5"/>
      <c r="W9" s="5"/>
      <c r="X9" s="5"/>
      <c r="Y9" s="5"/>
      <c r="Z9" s="5"/>
    </row>
    <row r="10">
      <c r="A10" s="42" t="s">
        <v>743</v>
      </c>
      <c r="B10" s="43" t="s">
        <v>744</v>
      </c>
      <c r="C10" s="45" t="s">
        <v>53</v>
      </c>
      <c r="D10" s="44" t="s">
        <v>41</v>
      </c>
      <c r="E10" s="43" t="s">
        <v>734</v>
      </c>
      <c r="F10" s="43" t="s">
        <v>745</v>
      </c>
      <c r="G10" s="43" t="s">
        <v>746</v>
      </c>
      <c r="H10" s="44" t="s">
        <v>45</v>
      </c>
      <c r="I10" s="43" t="s">
        <v>747</v>
      </c>
      <c r="J10" s="5"/>
      <c r="K10" s="5"/>
      <c r="L10" s="5"/>
      <c r="M10" s="5"/>
      <c r="N10" s="5"/>
      <c r="O10" s="5"/>
      <c r="P10" s="5"/>
      <c r="Q10" s="5"/>
      <c r="R10" s="5"/>
      <c r="S10" s="5"/>
      <c r="T10" s="5"/>
      <c r="U10" s="5"/>
      <c r="V10" s="5"/>
      <c r="W10" s="5"/>
      <c r="X10" s="5"/>
      <c r="Y10" s="5"/>
      <c r="Z10" s="5"/>
    </row>
    <row r="11">
      <c r="A11" s="38" t="s">
        <v>748</v>
      </c>
      <c r="B11" s="39" t="s">
        <v>749</v>
      </c>
      <c r="C11" s="40" t="s">
        <v>40</v>
      </c>
      <c r="D11" s="41" t="s">
        <v>41</v>
      </c>
      <c r="E11" s="39" t="s">
        <v>750</v>
      </c>
      <c r="F11" s="39" t="s">
        <v>751</v>
      </c>
      <c r="G11" s="39" t="s">
        <v>752</v>
      </c>
      <c r="H11" s="41" t="s">
        <v>45</v>
      </c>
      <c r="I11" s="39"/>
      <c r="J11" s="5"/>
      <c r="K11" s="5"/>
      <c r="L11" s="5"/>
      <c r="M11" s="5"/>
      <c r="N11" s="5"/>
      <c r="O11" s="5"/>
      <c r="P11" s="5"/>
      <c r="Q11" s="5"/>
      <c r="R11" s="5"/>
      <c r="S11" s="5"/>
      <c r="T11" s="5"/>
      <c r="U11" s="5"/>
      <c r="V11" s="5"/>
      <c r="W11" s="5"/>
      <c r="X11" s="5"/>
      <c r="Y11" s="5"/>
      <c r="Z11" s="5"/>
    </row>
    <row r="12">
      <c r="A12" s="42" t="s">
        <v>753</v>
      </c>
      <c r="B12" s="43" t="s">
        <v>754</v>
      </c>
      <c r="C12" s="45" t="s">
        <v>53</v>
      </c>
      <c r="D12" s="44" t="s">
        <v>755</v>
      </c>
      <c r="E12" s="43" t="s">
        <v>756</v>
      </c>
      <c r="F12" s="43" t="s">
        <v>757</v>
      </c>
      <c r="G12" s="43" t="s">
        <v>758</v>
      </c>
      <c r="H12" s="44" t="s">
        <v>45</v>
      </c>
      <c r="I12" s="43"/>
      <c r="J12" s="5"/>
      <c r="K12" s="5"/>
      <c r="L12" s="5"/>
      <c r="M12" s="5"/>
      <c r="N12" s="5"/>
      <c r="O12" s="5"/>
      <c r="P12" s="5"/>
      <c r="Q12" s="5"/>
      <c r="R12" s="5"/>
      <c r="S12" s="5"/>
      <c r="T12" s="5"/>
      <c r="U12" s="5"/>
      <c r="V12" s="5"/>
      <c r="W12" s="5"/>
      <c r="X12" s="5"/>
      <c r="Y12" s="5"/>
      <c r="Z12" s="5"/>
    </row>
    <row r="13">
      <c r="A13" s="38" t="s">
        <v>759</v>
      </c>
      <c r="B13" s="39" t="s">
        <v>760</v>
      </c>
      <c r="C13" s="46" t="s">
        <v>74</v>
      </c>
      <c r="D13" s="41" t="s">
        <v>41</v>
      </c>
      <c r="E13" s="39" t="s">
        <v>75</v>
      </c>
      <c r="F13" s="39" t="s">
        <v>761</v>
      </c>
      <c r="G13" s="39" t="s">
        <v>762</v>
      </c>
      <c r="H13" s="41" t="s">
        <v>45</v>
      </c>
      <c r="I13" s="39"/>
      <c r="J13" s="5"/>
      <c r="K13" s="5"/>
      <c r="L13" s="5"/>
      <c r="M13" s="5"/>
      <c r="N13" s="5"/>
      <c r="O13" s="5"/>
      <c r="P13" s="5"/>
      <c r="Q13" s="5"/>
      <c r="R13" s="5"/>
      <c r="S13" s="5"/>
      <c r="T13" s="5"/>
      <c r="U13" s="5"/>
      <c r="V13" s="5"/>
      <c r="W13" s="5"/>
      <c r="X13" s="5"/>
      <c r="Y13" s="5"/>
      <c r="Z13" s="5"/>
    </row>
    <row r="14">
      <c r="A14" s="42" t="s">
        <v>763</v>
      </c>
      <c r="B14" s="43" t="s">
        <v>764</v>
      </c>
      <c r="C14" s="46" t="s">
        <v>74</v>
      </c>
      <c r="D14" s="44" t="s">
        <v>755</v>
      </c>
      <c r="E14" s="43" t="s">
        <v>734</v>
      </c>
      <c r="F14" s="43" t="s">
        <v>765</v>
      </c>
      <c r="G14" s="43" t="s">
        <v>766</v>
      </c>
      <c r="H14" s="44" t="s">
        <v>45</v>
      </c>
      <c r="I14" s="43"/>
      <c r="J14" s="5"/>
      <c r="K14" s="5"/>
      <c r="L14" s="5"/>
      <c r="M14" s="5"/>
      <c r="N14" s="5"/>
      <c r="O14" s="5"/>
      <c r="P14" s="5"/>
      <c r="Q14" s="5"/>
      <c r="R14" s="5"/>
      <c r="S14" s="5"/>
      <c r="T14" s="5"/>
      <c r="U14" s="5"/>
      <c r="V14" s="5"/>
      <c r="W14" s="5"/>
      <c r="X14" s="5"/>
      <c r="Y14" s="5"/>
      <c r="Z14" s="5"/>
    </row>
    <row r="15">
      <c r="A15" s="38" t="s">
        <v>767</v>
      </c>
      <c r="B15" s="39" t="s">
        <v>768</v>
      </c>
      <c r="C15" s="40" t="s">
        <v>40</v>
      </c>
      <c r="D15" s="41" t="s">
        <v>41</v>
      </c>
      <c r="E15" s="39" t="s">
        <v>769</v>
      </c>
      <c r="F15" s="39" t="s">
        <v>770</v>
      </c>
      <c r="G15" s="39" t="s">
        <v>771</v>
      </c>
      <c r="H15" s="41" t="s">
        <v>45</v>
      </c>
      <c r="I15" s="39" t="s">
        <v>772</v>
      </c>
      <c r="J15" s="5"/>
      <c r="K15" s="5"/>
      <c r="L15" s="5"/>
      <c r="M15" s="5"/>
      <c r="N15" s="5"/>
      <c r="O15" s="5"/>
      <c r="P15" s="5"/>
      <c r="Q15" s="5"/>
      <c r="R15" s="5"/>
      <c r="S15" s="5"/>
      <c r="T15" s="5"/>
      <c r="U15" s="5"/>
      <c r="V15" s="5"/>
      <c r="W15" s="5"/>
      <c r="X15" s="5"/>
      <c r="Y15" s="5"/>
      <c r="Z15" s="5"/>
    </row>
    <row r="16">
      <c r="A16" s="38" t="s">
        <v>773</v>
      </c>
      <c r="B16" s="39" t="s">
        <v>774</v>
      </c>
      <c r="C16" s="40" t="s">
        <v>40</v>
      </c>
      <c r="D16" s="41" t="s">
        <v>41</v>
      </c>
      <c r="E16" s="39" t="s">
        <v>775</v>
      </c>
      <c r="F16" s="39" t="s">
        <v>776</v>
      </c>
      <c r="G16" s="39" t="s">
        <v>777</v>
      </c>
      <c r="H16" s="41" t="s">
        <v>45</v>
      </c>
      <c r="I16" s="39" t="s">
        <v>778</v>
      </c>
      <c r="J16" s="5"/>
      <c r="K16" s="5"/>
      <c r="L16" s="5"/>
      <c r="M16" s="5"/>
      <c r="N16" s="5"/>
      <c r="O16" s="5"/>
      <c r="P16" s="5"/>
      <c r="Q16" s="5"/>
      <c r="R16" s="5"/>
      <c r="S16" s="5"/>
      <c r="T16" s="5"/>
      <c r="U16" s="5"/>
      <c r="V16" s="5"/>
      <c r="W16" s="5"/>
      <c r="X16" s="5"/>
      <c r="Y16" s="5"/>
      <c r="Z16" s="5"/>
    </row>
    <row r="17">
      <c r="A17" s="42" t="s">
        <v>779</v>
      </c>
      <c r="B17" s="43" t="s">
        <v>780</v>
      </c>
      <c r="C17" s="40" t="s">
        <v>40</v>
      </c>
      <c r="D17" s="44" t="s">
        <v>41</v>
      </c>
      <c r="E17" s="43" t="s">
        <v>781</v>
      </c>
      <c r="F17" s="43" t="s">
        <v>782</v>
      </c>
      <c r="G17" s="43" t="s">
        <v>783</v>
      </c>
      <c r="H17" s="44" t="s">
        <v>45</v>
      </c>
      <c r="I17" s="43" t="s">
        <v>784</v>
      </c>
      <c r="J17" s="5"/>
      <c r="K17" s="5"/>
      <c r="L17" s="5"/>
      <c r="M17" s="5"/>
      <c r="N17" s="5"/>
      <c r="O17" s="5"/>
      <c r="P17" s="5"/>
      <c r="Q17" s="5"/>
      <c r="R17" s="5"/>
      <c r="S17" s="5"/>
      <c r="T17" s="5"/>
      <c r="U17" s="5"/>
      <c r="V17" s="5"/>
      <c r="W17" s="5"/>
      <c r="X17" s="5"/>
      <c r="Y17" s="5"/>
      <c r="Z17" s="5"/>
    </row>
    <row r="18">
      <c r="A18" s="38" t="s">
        <v>785</v>
      </c>
      <c r="B18" s="39" t="s">
        <v>786</v>
      </c>
      <c r="C18" s="40" t="s">
        <v>40</v>
      </c>
      <c r="D18" s="41" t="s">
        <v>41</v>
      </c>
      <c r="E18" s="39" t="s">
        <v>787</v>
      </c>
      <c r="F18" s="39" t="s">
        <v>788</v>
      </c>
      <c r="G18" s="39" t="s">
        <v>789</v>
      </c>
      <c r="H18" s="41" t="s">
        <v>45</v>
      </c>
      <c r="I18" s="50" t="s">
        <v>737</v>
      </c>
      <c r="J18" s="5"/>
      <c r="K18" s="5"/>
      <c r="L18" s="5"/>
      <c r="M18" s="5"/>
      <c r="N18" s="5"/>
      <c r="O18" s="5"/>
      <c r="P18" s="5"/>
      <c r="Q18" s="5"/>
      <c r="R18" s="5"/>
      <c r="S18" s="5"/>
      <c r="T18" s="5"/>
      <c r="U18" s="5"/>
      <c r="V18" s="5"/>
      <c r="W18" s="5"/>
      <c r="X18" s="5"/>
      <c r="Y18" s="5"/>
      <c r="Z18" s="5"/>
    </row>
    <row r="19">
      <c r="A19" s="42" t="s">
        <v>790</v>
      </c>
      <c r="B19" s="43" t="s">
        <v>791</v>
      </c>
      <c r="C19" s="45" t="s">
        <v>53</v>
      </c>
      <c r="D19" s="44" t="s">
        <v>41</v>
      </c>
      <c r="E19" s="43" t="s">
        <v>792</v>
      </c>
      <c r="F19" s="43" t="s">
        <v>793</v>
      </c>
      <c r="G19" s="43" t="s">
        <v>794</v>
      </c>
      <c r="H19" s="44" t="s">
        <v>45</v>
      </c>
      <c r="I19" s="43"/>
      <c r="J19" s="5"/>
      <c r="K19" s="5"/>
      <c r="L19" s="5"/>
      <c r="M19" s="5"/>
      <c r="N19" s="5"/>
      <c r="O19" s="5"/>
      <c r="P19" s="5"/>
      <c r="Q19" s="5"/>
      <c r="R19" s="5"/>
      <c r="S19" s="5"/>
      <c r="T19" s="5"/>
      <c r="U19" s="5"/>
      <c r="V19" s="5"/>
      <c r="W19" s="5"/>
      <c r="X19" s="5"/>
      <c r="Y19" s="5"/>
      <c r="Z19" s="5"/>
    </row>
    <row r="20">
      <c r="A20" s="38" t="s">
        <v>795</v>
      </c>
      <c r="B20" s="39" t="s">
        <v>796</v>
      </c>
      <c r="C20" s="40" t="s">
        <v>40</v>
      </c>
      <c r="D20" s="41" t="s">
        <v>41</v>
      </c>
      <c r="E20" s="53" t="s">
        <v>797</v>
      </c>
      <c r="F20" s="39" t="s">
        <v>798</v>
      </c>
      <c r="G20" s="39" t="s">
        <v>799</v>
      </c>
      <c r="H20" s="41" t="s">
        <v>45</v>
      </c>
      <c r="I20" s="39"/>
      <c r="J20" s="5"/>
      <c r="K20" s="5"/>
      <c r="L20" s="5"/>
      <c r="M20" s="5"/>
      <c r="N20" s="5"/>
      <c r="O20" s="5"/>
      <c r="P20" s="5"/>
      <c r="Q20" s="5"/>
      <c r="R20" s="5"/>
      <c r="S20" s="5"/>
      <c r="T20" s="5"/>
      <c r="U20" s="5"/>
      <c r="V20" s="5"/>
      <c r="W20" s="5"/>
      <c r="X20" s="5"/>
      <c r="Y20" s="5"/>
      <c r="Z20" s="5"/>
    </row>
    <row r="21" ht="15.75" customHeight="1">
      <c r="A21" s="38" t="s">
        <v>800</v>
      </c>
      <c r="B21" s="39" t="s">
        <v>801</v>
      </c>
      <c r="C21" s="45" t="s">
        <v>53</v>
      </c>
      <c r="D21" s="41" t="s">
        <v>41</v>
      </c>
      <c r="E21" s="39" t="s">
        <v>802</v>
      </c>
      <c r="F21" s="53" t="s">
        <v>803</v>
      </c>
      <c r="G21" s="53" t="s">
        <v>804</v>
      </c>
      <c r="H21" s="41" t="s">
        <v>45</v>
      </c>
      <c r="I21" s="39"/>
      <c r="J21" s="5"/>
      <c r="K21" s="5"/>
      <c r="L21" s="5"/>
      <c r="M21" s="5"/>
      <c r="N21" s="5"/>
      <c r="O21" s="5"/>
      <c r="P21" s="5"/>
      <c r="Q21" s="5"/>
      <c r="R21" s="5"/>
      <c r="S21" s="5"/>
      <c r="T21" s="5"/>
      <c r="U21" s="5"/>
      <c r="V21" s="5"/>
      <c r="W21" s="5"/>
      <c r="X21" s="5"/>
      <c r="Y21" s="5"/>
      <c r="Z21" s="5"/>
    </row>
    <row r="22" ht="15.75" customHeight="1">
      <c r="A22" s="42" t="s">
        <v>805</v>
      </c>
      <c r="B22" s="43" t="s">
        <v>806</v>
      </c>
      <c r="C22" s="45" t="s">
        <v>53</v>
      </c>
      <c r="D22" s="44" t="s">
        <v>755</v>
      </c>
      <c r="E22" s="43" t="s">
        <v>807</v>
      </c>
      <c r="F22" s="43" t="s">
        <v>808</v>
      </c>
      <c r="G22" s="43" t="s">
        <v>809</v>
      </c>
      <c r="H22" s="44" t="s">
        <v>45</v>
      </c>
      <c r="I22" s="43" t="s">
        <v>810</v>
      </c>
      <c r="J22" s="5"/>
      <c r="K22" s="5"/>
      <c r="L22" s="5"/>
      <c r="M22" s="5"/>
      <c r="N22" s="5"/>
      <c r="O22" s="5"/>
      <c r="P22" s="5"/>
      <c r="Q22" s="5"/>
      <c r="R22" s="5"/>
      <c r="S22" s="5"/>
      <c r="T22" s="5"/>
      <c r="U22" s="5"/>
      <c r="V22" s="5"/>
      <c r="W22" s="5"/>
      <c r="X22" s="5"/>
      <c r="Y22" s="5"/>
      <c r="Z22" s="5"/>
    </row>
    <row r="23" ht="15.75" customHeight="1">
      <c r="A23" s="38" t="s">
        <v>811</v>
      </c>
      <c r="B23" s="39" t="s">
        <v>812</v>
      </c>
      <c r="C23" s="46" t="s">
        <v>74</v>
      </c>
      <c r="D23" s="41" t="s">
        <v>755</v>
      </c>
      <c r="E23" s="39" t="s">
        <v>813</v>
      </c>
      <c r="F23" s="39" t="s">
        <v>814</v>
      </c>
      <c r="G23" s="39" t="s">
        <v>815</v>
      </c>
      <c r="H23" s="41" t="s">
        <v>45</v>
      </c>
      <c r="I23" s="39" t="s">
        <v>816</v>
      </c>
      <c r="J23" s="5"/>
      <c r="K23" s="5"/>
      <c r="L23" s="5"/>
      <c r="M23" s="5"/>
      <c r="N23" s="5"/>
      <c r="O23" s="5"/>
      <c r="P23" s="5"/>
      <c r="Q23" s="5"/>
      <c r="R23" s="5"/>
      <c r="S23" s="5"/>
      <c r="T23" s="5"/>
      <c r="U23" s="5"/>
      <c r="V23" s="5"/>
      <c r="W23" s="5"/>
      <c r="X23" s="5"/>
      <c r="Y23" s="5"/>
      <c r="Z23" s="5"/>
    </row>
    <row r="24" ht="15.75" customHeight="1">
      <c r="A24" s="42" t="s">
        <v>817</v>
      </c>
      <c r="B24" s="43" t="s">
        <v>818</v>
      </c>
      <c r="C24" s="40" t="s">
        <v>40</v>
      </c>
      <c r="D24" s="44" t="s">
        <v>41</v>
      </c>
      <c r="E24" s="43" t="s">
        <v>819</v>
      </c>
      <c r="F24" s="43" t="s">
        <v>820</v>
      </c>
      <c r="G24" s="43" t="s">
        <v>821</v>
      </c>
      <c r="H24" s="44" t="s">
        <v>45</v>
      </c>
      <c r="I24" s="43" t="s">
        <v>822</v>
      </c>
      <c r="J24" s="5"/>
      <c r="K24" s="5"/>
      <c r="L24" s="5"/>
      <c r="M24" s="5"/>
      <c r="N24" s="5"/>
      <c r="O24" s="5"/>
      <c r="P24" s="5"/>
      <c r="Q24" s="5"/>
      <c r="R24" s="5"/>
      <c r="S24" s="5"/>
      <c r="T24" s="5"/>
      <c r="U24" s="5"/>
      <c r="V24" s="5"/>
      <c r="W24" s="5"/>
      <c r="X24" s="5"/>
      <c r="Y24" s="5"/>
      <c r="Z24" s="5"/>
    </row>
    <row r="25" ht="15.75" customHeight="1">
      <c r="A25" s="38" t="s">
        <v>823</v>
      </c>
      <c r="B25" s="39" t="s">
        <v>824</v>
      </c>
      <c r="C25" s="40" t="s">
        <v>40</v>
      </c>
      <c r="D25" s="41" t="s">
        <v>41</v>
      </c>
      <c r="E25" s="39" t="s">
        <v>819</v>
      </c>
      <c r="F25" s="53" t="s">
        <v>825</v>
      </c>
      <c r="G25" s="53" t="s">
        <v>826</v>
      </c>
      <c r="H25" s="41" t="s">
        <v>45</v>
      </c>
      <c r="I25" s="39" t="s">
        <v>827</v>
      </c>
      <c r="J25" s="5"/>
      <c r="K25" s="5"/>
      <c r="L25" s="5"/>
      <c r="M25" s="5"/>
      <c r="N25" s="5"/>
      <c r="O25" s="5"/>
      <c r="P25" s="5"/>
      <c r="Q25" s="5"/>
      <c r="R25" s="5"/>
      <c r="S25" s="5"/>
      <c r="T25" s="5"/>
      <c r="U25" s="5"/>
      <c r="V25" s="5"/>
      <c r="W25" s="5"/>
      <c r="X25" s="5"/>
      <c r="Y25" s="5"/>
      <c r="Z25" s="5"/>
    </row>
    <row r="26" ht="15.75" customHeight="1">
      <c r="A26" s="42" t="s">
        <v>828</v>
      </c>
      <c r="B26" s="43" t="s">
        <v>829</v>
      </c>
      <c r="C26" s="40" t="s">
        <v>40</v>
      </c>
      <c r="D26" s="44" t="s">
        <v>41</v>
      </c>
      <c r="E26" s="43" t="s">
        <v>830</v>
      </c>
      <c r="F26" s="43" t="s">
        <v>831</v>
      </c>
      <c r="G26" s="43" t="s">
        <v>832</v>
      </c>
      <c r="H26" s="44" t="s">
        <v>45</v>
      </c>
      <c r="I26" s="43" t="s">
        <v>833</v>
      </c>
      <c r="J26" s="5"/>
      <c r="K26" s="5"/>
      <c r="L26" s="5"/>
      <c r="M26" s="5"/>
      <c r="N26" s="5"/>
      <c r="O26" s="5"/>
      <c r="P26" s="5"/>
      <c r="Q26" s="5"/>
      <c r="R26" s="5"/>
      <c r="S26" s="5"/>
      <c r="T26" s="5"/>
      <c r="U26" s="5"/>
      <c r="V26" s="5"/>
      <c r="W26" s="5"/>
      <c r="X26" s="5"/>
      <c r="Y26" s="5"/>
      <c r="Z26" s="5"/>
    </row>
    <row r="27" ht="15.75" customHeight="1">
      <c r="A27" s="38" t="s">
        <v>834</v>
      </c>
      <c r="B27" s="39" t="s">
        <v>835</v>
      </c>
      <c r="C27" s="40" t="s">
        <v>40</v>
      </c>
      <c r="D27" s="41" t="s">
        <v>41</v>
      </c>
      <c r="E27" s="39" t="s">
        <v>836</v>
      </c>
      <c r="F27" s="39" t="s">
        <v>837</v>
      </c>
      <c r="G27" s="53" t="s">
        <v>838</v>
      </c>
      <c r="H27" s="41" t="s">
        <v>45</v>
      </c>
      <c r="I27" s="39" t="s">
        <v>839</v>
      </c>
      <c r="J27" s="5"/>
      <c r="K27" s="5"/>
      <c r="L27" s="5"/>
      <c r="M27" s="5"/>
      <c r="N27" s="5"/>
      <c r="O27" s="5"/>
      <c r="P27" s="5"/>
      <c r="Q27" s="5"/>
      <c r="R27" s="5"/>
      <c r="S27" s="5"/>
      <c r="T27" s="5"/>
      <c r="U27" s="5"/>
      <c r="V27" s="5"/>
      <c r="W27" s="5"/>
      <c r="X27" s="5"/>
      <c r="Y27" s="5"/>
      <c r="Z27" s="5"/>
    </row>
    <row r="28" ht="15.75" customHeight="1">
      <c r="A28" s="42" t="s">
        <v>840</v>
      </c>
      <c r="B28" s="43" t="s">
        <v>841</v>
      </c>
      <c r="C28" s="45" t="s">
        <v>53</v>
      </c>
      <c r="D28" s="44" t="s">
        <v>41</v>
      </c>
      <c r="E28" s="43" t="s">
        <v>842</v>
      </c>
      <c r="F28" s="43" t="s">
        <v>843</v>
      </c>
      <c r="G28" s="43" t="s">
        <v>844</v>
      </c>
      <c r="H28" s="44" t="s">
        <v>45</v>
      </c>
      <c r="I28" s="43"/>
      <c r="J28" s="5"/>
      <c r="K28" s="5"/>
      <c r="L28" s="5"/>
      <c r="M28" s="5"/>
      <c r="N28" s="5"/>
      <c r="O28" s="5"/>
      <c r="P28" s="5"/>
      <c r="Q28" s="5"/>
      <c r="R28" s="5"/>
      <c r="S28" s="5"/>
      <c r="T28" s="5"/>
      <c r="U28" s="5"/>
      <c r="V28" s="5"/>
      <c r="W28" s="5"/>
      <c r="X28" s="5"/>
      <c r="Y28" s="5"/>
      <c r="Z28" s="5"/>
    </row>
    <row r="29" ht="15.75" customHeight="1">
      <c r="A29" s="38" t="s">
        <v>845</v>
      </c>
      <c r="B29" s="39" t="s">
        <v>846</v>
      </c>
      <c r="C29" s="40" t="s">
        <v>40</v>
      </c>
      <c r="D29" s="41" t="s">
        <v>41</v>
      </c>
      <c r="E29" s="53" t="s">
        <v>847</v>
      </c>
      <c r="F29" s="53" t="s">
        <v>848</v>
      </c>
      <c r="G29" s="53" t="s">
        <v>849</v>
      </c>
      <c r="H29" s="41" t="s">
        <v>45</v>
      </c>
      <c r="I29" s="39" t="s">
        <v>850</v>
      </c>
      <c r="J29" s="5"/>
      <c r="K29" s="5"/>
      <c r="L29" s="5"/>
      <c r="M29" s="5"/>
      <c r="N29" s="5"/>
      <c r="O29" s="5"/>
      <c r="P29" s="5"/>
      <c r="Q29" s="5"/>
      <c r="R29" s="5"/>
      <c r="S29" s="5"/>
      <c r="T29" s="5"/>
      <c r="U29" s="5"/>
      <c r="V29" s="5"/>
      <c r="W29" s="5"/>
      <c r="X29" s="5"/>
      <c r="Y29" s="5"/>
      <c r="Z29" s="5"/>
    </row>
    <row r="30" ht="15.75" customHeight="1">
      <c r="A30" s="38" t="s">
        <v>851</v>
      </c>
      <c r="B30" s="39" t="s">
        <v>852</v>
      </c>
      <c r="C30" s="40" t="s">
        <v>40</v>
      </c>
      <c r="D30" s="41" t="s">
        <v>41</v>
      </c>
      <c r="E30" s="39" t="s">
        <v>853</v>
      </c>
      <c r="F30" s="39" t="s">
        <v>854</v>
      </c>
      <c r="G30" s="39" t="s">
        <v>855</v>
      </c>
      <c r="H30" s="41" t="s">
        <v>45</v>
      </c>
      <c r="I30" s="39" t="s">
        <v>856</v>
      </c>
      <c r="J30" s="5"/>
      <c r="K30" s="5"/>
      <c r="L30" s="5"/>
      <c r="M30" s="5"/>
      <c r="N30" s="5"/>
      <c r="O30" s="5"/>
      <c r="P30" s="5"/>
      <c r="Q30" s="5"/>
      <c r="R30" s="5"/>
      <c r="S30" s="5"/>
      <c r="T30" s="5"/>
      <c r="U30" s="5"/>
      <c r="V30" s="5"/>
      <c r="W30" s="5"/>
      <c r="X30" s="5"/>
      <c r="Y30" s="5"/>
      <c r="Z30" s="5"/>
    </row>
    <row r="31" ht="15.75" customHeight="1">
      <c r="A31" s="38" t="s">
        <v>857</v>
      </c>
      <c r="B31" s="43" t="s">
        <v>858</v>
      </c>
      <c r="C31" s="40" t="s">
        <v>40</v>
      </c>
      <c r="D31" s="44" t="s">
        <v>41</v>
      </c>
      <c r="E31" s="43" t="s">
        <v>859</v>
      </c>
      <c r="F31" s="43" t="s">
        <v>860</v>
      </c>
      <c r="G31" s="43" t="s">
        <v>861</v>
      </c>
      <c r="H31" s="44" t="s">
        <v>45</v>
      </c>
      <c r="I31" s="43" t="s">
        <v>862</v>
      </c>
      <c r="J31" s="5"/>
      <c r="K31" s="5"/>
      <c r="L31" s="5"/>
      <c r="M31" s="5"/>
      <c r="N31" s="5"/>
      <c r="O31" s="5"/>
      <c r="P31" s="5"/>
      <c r="Q31" s="5"/>
      <c r="R31" s="5"/>
      <c r="S31" s="5"/>
      <c r="T31" s="5"/>
      <c r="U31" s="5"/>
      <c r="V31" s="5"/>
      <c r="W31" s="5"/>
      <c r="X31" s="5"/>
      <c r="Y31" s="5"/>
      <c r="Z31" s="5"/>
    </row>
    <row r="32" ht="15.75" customHeight="1">
      <c r="A32" s="38" t="s">
        <v>863</v>
      </c>
      <c r="B32" s="39" t="s">
        <v>864</v>
      </c>
      <c r="C32" s="40" t="s">
        <v>40</v>
      </c>
      <c r="D32" s="41" t="s">
        <v>41</v>
      </c>
      <c r="E32" s="39" t="s">
        <v>865</v>
      </c>
      <c r="F32" s="39" t="s">
        <v>866</v>
      </c>
      <c r="G32" s="39" t="s">
        <v>867</v>
      </c>
      <c r="H32" s="41" t="s">
        <v>45</v>
      </c>
      <c r="I32" s="39" t="s">
        <v>868</v>
      </c>
      <c r="J32" s="5"/>
      <c r="K32" s="5"/>
      <c r="L32" s="5"/>
      <c r="M32" s="5"/>
      <c r="N32" s="5"/>
      <c r="O32" s="5"/>
      <c r="P32" s="5"/>
      <c r="Q32" s="5"/>
      <c r="R32" s="5"/>
      <c r="S32" s="5"/>
      <c r="T32" s="5"/>
      <c r="U32" s="5"/>
      <c r="V32" s="5"/>
      <c r="W32" s="5"/>
      <c r="X32" s="5"/>
      <c r="Y32" s="5"/>
      <c r="Z32" s="5"/>
    </row>
    <row r="33" ht="15.75" customHeight="1">
      <c r="A33" s="38" t="s">
        <v>869</v>
      </c>
      <c r="B33" s="43" t="s">
        <v>870</v>
      </c>
      <c r="C33" s="40" t="s">
        <v>40</v>
      </c>
      <c r="D33" s="44" t="s">
        <v>41</v>
      </c>
      <c r="E33" s="43" t="s">
        <v>871</v>
      </c>
      <c r="F33" s="43" t="s">
        <v>872</v>
      </c>
      <c r="G33" s="43" t="s">
        <v>873</v>
      </c>
      <c r="H33" s="44" t="s">
        <v>45</v>
      </c>
      <c r="I33" s="43" t="s">
        <v>874</v>
      </c>
      <c r="J33" s="5"/>
      <c r="K33" s="5"/>
      <c r="L33" s="5"/>
      <c r="M33" s="5"/>
      <c r="N33" s="5"/>
      <c r="O33" s="5"/>
      <c r="P33" s="5"/>
      <c r="Q33" s="5"/>
      <c r="R33" s="5"/>
      <c r="S33" s="5"/>
      <c r="T33" s="5"/>
      <c r="U33" s="5"/>
      <c r="V33" s="5"/>
      <c r="W33" s="5"/>
      <c r="X33" s="5"/>
      <c r="Y33" s="5"/>
      <c r="Z33" s="5"/>
    </row>
    <row r="34" ht="15.75" customHeight="1">
      <c r="A34" s="38" t="s">
        <v>875</v>
      </c>
      <c r="B34" s="39" t="s">
        <v>876</v>
      </c>
      <c r="C34" s="40" t="s">
        <v>40</v>
      </c>
      <c r="D34" s="41" t="s">
        <v>41</v>
      </c>
      <c r="E34" s="39" t="s">
        <v>877</v>
      </c>
      <c r="F34" s="39" t="s">
        <v>878</v>
      </c>
      <c r="G34" s="39" t="s">
        <v>879</v>
      </c>
      <c r="H34" s="41" t="s">
        <v>45</v>
      </c>
      <c r="I34" s="39" t="s">
        <v>880</v>
      </c>
      <c r="J34" s="5"/>
      <c r="K34" s="5"/>
      <c r="L34" s="5"/>
      <c r="M34" s="5"/>
      <c r="N34" s="5"/>
      <c r="O34" s="5"/>
      <c r="P34" s="5"/>
      <c r="Q34" s="5"/>
      <c r="R34" s="5"/>
      <c r="S34" s="5"/>
      <c r="T34" s="5"/>
      <c r="U34" s="5"/>
      <c r="V34" s="5"/>
      <c r="W34" s="5"/>
      <c r="X34" s="5"/>
      <c r="Y34" s="5"/>
      <c r="Z34" s="5"/>
    </row>
    <row r="35" ht="15.75" customHeight="1">
      <c r="A35" s="38" t="s">
        <v>881</v>
      </c>
      <c r="B35" s="43" t="s">
        <v>882</v>
      </c>
      <c r="C35" s="45" t="s">
        <v>53</v>
      </c>
      <c r="D35" s="44" t="s">
        <v>41</v>
      </c>
      <c r="E35" s="43" t="s">
        <v>883</v>
      </c>
      <c r="F35" s="43" t="s">
        <v>884</v>
      </c>
      <c r="G35" s="43" t="s">
        <v>885</v>
      </c>
      <c r="H35" s="44" t="s">
        <v>45</v>
      </c>
      <c r="I35" s="43" t="s">
        <v>886</v>
      </c>
      <c r="J35" s="5"/>
      <c r="K35" s="5"/>
      <c r="L35" s="5"/>
      <c r="M35" s="5"/>
      <c r="N35" s="5"/>
      <c r="O35" s="5"/>
      <c r="P35" s="5"/>
      <c r="Q35" s="5"/>
      <c r="R35" s="5"/>
      <c r="S35" s="5"/>
      <c r="T35" s="5"/>
      <c r="U35" s="5"/>
      <c r="V35" s="5"/>
      <c r="W35" s="5"/>
      <c r="X35" s="5"/>
      <c r="Y35" s="5"/>
      <c r="Z35" s="5"/>
    </row>
    <row r="36" ht="15.75" customHeight="1">
      <c r="A36" s="38" t="s">
        <v>887</v>
      </c>
      <c r="B36" s="39" t="s">
        <v>888</v>
      </c>
      <c r="C36" s="40" t="s">
        <v>40</v>
      </c>
      <c r="D36" s="41" t="s">
        <v>41</v>
      </c>
      <c r="E36" s="39" t="s">
        <v>889</v>
      </c>
      <c r="F36" s="39" t="s">
        <v>890</v>
      </c>
      <c r="G36" s="39" t="s">
        <v>891</v>
      </c>
      <c r="H36" s="41" t="s">
        <v>45</v>
      </c>
      <c r="I36" s="39" t="s">
        <v>892</v>
      </c>
      <c r="J36" s="5"/>
      <c r="K36" s="5"/>
      <c r="L36" s="5"/>
      <c r="M36" s="5"/>
      <c r="N36" s="5"/>
      <c r="O36" s="5"/>
      <c r="P36" s="5"/>
      <c r="Q36" s="5"/>
      <c r="R36" s="5"/>
      <c r="S36" s="5"/>
      <c r="T36" s="5"/>
      <c r="U36" s="5"/>
      <c r="V36" s="5"/>
      <c r="W36" s="5"/>
      <c r="X36" s="5"/>
      <c r="Y36" s="5"/>
      <c r="Z36" s="5"/>
    </row>
    <row r="37" ht="15.75" customHeight="1">
      <c r="A37" s="38" t="s">
        <v>893</v>
      </c>
      <c r="B37" s="43" t="s">
        <v>894</v>
      </c>
      <c r="C37" s="40" t="s">
        <v>40</v>
      </c>
      <c r="D37" s="44" t="s">
        <v>41</v>
      </c>
      <c r="E37" s="43" t="s">
        <v>895</v>
      </c>
      <c r="F37" s="43" t="s">
        <v>896</v>
      </c>
      <c r="G37" s="43" t="s">
        <v>897</v>
      </c>
      <c r="H37" s="44" t="s">
        <v>45</v>
      </c>
      <c r="I37" s="43" t="s">
        <v>898</v>
      </c>
      <c r="J37" s="5"/>
      <c r="K37" s="5"/>
      <c r="L37" s="5"/>
      <c r="M37" s="5"/>
      <c r="N37" s="5"/>
      <c r="O37" s="5"/>
      <c r="P37" s="5"/>
      <c r="Q37" s="5"/>
      <c r="R37" s="5"/>
      <c r="S37" s="5"/>
      <c r="T37" s="5"/>
      <c r="U37" s="5"/>
      <c r="V37" s="5"/>
      <c r="W37" s="5"/>
      <c r="X37" s="5"/>
      <c r="Y37" s="5"/>
      <c r="Z37" s="5"/>
    </row>
    <row r="38" ht="15.75" customHeight="1">
      <c r="A38" s="38" t="s">
        <v>899</v>
      </c>
      <c r="B38" s="39" t="s">
        <v>900</v>
      </c>
      <c r="C38" s="45" t="s">
        <v>53</v>
      </c>
      <c r="D38" s="41" t="s">
        <v>41</v>
      </c>
      <c r="E38" s="39" t="s">
        <v>901</v>
      </c>
      <c r="F38" s="39" t="s">
        <v>902</v>
      </c>
      <c r="G38" s="39" t="s">
        <v>903</v>
      </c>
      <c r="H38" s="41" t="s">
        <v>45</v>
      </c>
      <c r="I38" s="39" t="s">
        <v>904</v>
      </c>
      <c r="J38" s="5"/>
      <c r="K38" s="5"/>
      <c r="L38" s="5"/>
      <c r="M38" s="5"/>
      <c r="N38" s="5"/>
      <c r="O38" s="5"/>
      <c r="P38" s="5"/>
      <c r="Q38" s="5"/>
      <c r="R38" s="5"/>
      <c r="S38" s="5"/>
      <c r="T38" s="5"/>
      <c r="U38" s="5"/>
      <c r="V38" s="5"/>
      <c r="W38" s="5"/>
      <c r="X38" s="5"/>
      <c r="Y38" s="5"/>
      <c r="Z38" s="5"/>
    </row>
    <row r="39" ht="15.75" customHeight="1">
      <c r="A39" s="38" t="s">
        <v>905</v>
      </c>
      <c r="B39" s="43" t="s">
        <v>906</v>
      </c>
      <c r="C39" s="40" t="s">
        <v>40</v>
      </c>
      <c r="D39" s="44" t="s">
        <v>41</v>
      </c>
      <c r="E39" s="43" t="s">
        <v>907</v>
      </c>
      <c r="F39" s="43" t="s">
        <v>908</v>
      </c>
      <c r="G39" s="43" t="s">
        <v>909</v>
      </c>
      <c r="H39" s="44" t="s">
        <v>45</v>
      </c>
      <c r="I39" s="43" t="s">
        <v>910</v>
      </c>
      <c r="J39" s="5"/>
      <c r="K39" s="5"/>
      <c r="L39" s="5"/>
      <c r="M39" s="5"/>
      <c r="N39" s="5"/>
      <c r="O39" s="5"/>
      <c r="P39" s="5"/>
      <c r="Q39" s="5"/>
      <c r="R39" s="5"/>
      <c r="S39" s="5"/>
      <c r="T39" s="5"/>
      <c r="U39" s="5"/>
      <c r="V39" s="5"/>
      <c r="W39" s="5"/>
      <c r="X39" s="5"/>
      <c r="Y39" s="5"/>
      <c r="Z39" s="5"/>
    </row>
    <row r="40" ht="15.75" customHeight="1">
      <c r="A40" s="38" t="s">
        <v>911</v>
      </c>
      <c r="B40" s="39" t="s">
        <v>912</v>
      </c>
      <c r="C40" s="40" t="s">
        <v>40</v>
      </c>
      <c r="D40" s="41" t="s">
        <v>41</v>
      </c>
      <c r="E40" s="39" t="s">
        <v>913</v>
      </c>
      <c r="F40" s="39" t="s">
        <v>914</v>
      </c>
      <c r="G40" s="39" t="s">
        <v>915</v>
      </c>
      <c r="H40" s="41" t="s">
        <v>45</v>
      </c>
      <c r="I40" s="39" t="s">
        <v>916</v>
      </c>
      <c r="J40" s="5"/>
      <c r="K40" s="5"/>
      <c r="L40" s="5"/>
      <c r="M40" s="5"/>
      <c r="N40" s="5"/>
      <c r="O40" s="5"/>
      <c r="P40" s="5"/>
      <c r="Q40" s="5"/>
      <c r="R40" s="5"/>
      <c r="S40" s="5"/>
      <c r="T40" s="5"/>
      <c r="U40" s="5"/>
      <c r="V40" s="5"/>
      <c r="W40" s="5"/>
      <c r="X40" s="5"/>
      <c r="Y40" s="5"/>
      <c r="Z40" s="5"/>
    </row>
    <row r="41" ht="15.75" customHeight="1">
      <c r="A41" s="38" t="s">
        <v>917</v>
      </c>
      <c r="B41" s="43" t="s">
        <v>918</v>
      </c>
      <c r="C41" s="40" t="s">
        <v>40</v>
      </c>
      <c r="D41" s="44" t="s">
        <v>41</v>
      </c>
      <c r="E41" s="43" t="s">
        <v>919</v>
      </c>
      <c r="F41" s="43" t="s">
        <v>920</v>
      </c>
      <c r="G41" s="43" t="s">
        <v>921</v>
      </c>
      <c r="H41" s="44" t="s">
        <v>45</v>
      </c>
      <c r="I41" s="43" t="s">
        <v>684</v>
      </c>
      <c r="J41" s="5"/>
      <c r="K41" s="5"/>
      <c r="L41" s="5"/>
      <c r="M41" s="5"/>
      <c r="N41" s="5"/>
      <c r="O41" s="5"/>
      <c r="P41" s="5"/>
      <c r="Q41" s="5"/>
      <c r="R41" s="5"/>
      <c r="S41" s="5"/>
      <c r="T41" s="5"/>
      <c r="U41" s="5"/>
      <c r="V41" s="5"/>
      <c r="W41" s="5"/>
      <c r="X41" s="5"/>
      <c r="Y41" s="5"/>
      <c r="Z41" s="5"/>
    </row>
    <row r="42" ht="15.75" customHeight="1">
      <c r="A42" s="38" t="s">
        <v>922</v>
      </c>
      <c r="B42" s="39" t="s">
        <v>923</v>
      </c>
      <c r="C42" s="40" t="s">
        <v>40</v>
      </c>
      <c r="D42" s="41" t="s">
        <v>41</v>
      </c>
      <c r="E42" s="39" t="s">
        <v>924</v>
      </c>
      <c r="F42" s="39" t="s">
        <v>925</v>
      </c>
      <c r="G42" s="39" t="s">
        <v>926</v>
      </c>
      <c r="H42" s="41" t="s">
        <v>45</v>
      </c>
      <c r="I42" s="39" t="s">
        <v>927</v>
      </c>
      <c r="J42" s="5"/>
      <c r="K42" s="5"/>
      <c r="L42" s="5"/>
      <c r="M42" s="5"/>
      <c r="N42" s="5"/>
      <c r="O42" s="5"/>
      <c r="P42" s="5"/>
      <c r="Q42" s="5"/>
      <c r="R42" s="5"/>
      <c r="S42" s="5"/>
      <c r="T42" s="5"/>
      <c r="U42" s="5"/>
      <c r="V42" s="5"/>
      <c r="W42" s="5"/>
      <c r="X42" s="5"/>
      <c r="Y42" s="5"/>
      <c r="Z42" s="5"/>
    </row>
    <row r="43" ht="15.75" customHeight="1">
      <c r="A43" s="38" t="s">
        <v>928</v>
      </c>
      <c r="B43" s="43" t="s">
        <v>929</v>
      </c>
      <c r="C43" s="40" t="s">
        <v>40</v>
      </c>
      <c r="D43" s="44" t="s">
        <v>41</v>
      </c>
      <c r="E43" s="43" t="s">
        <v>930</v>
      </c>
      <c r="F43" s="43" t="s">
        <v>931</v>
      </c>
      <c r="G43" s="43" t="s">
        <v>932</v>
      </c>
      <c r="H43" s="44" t="s">
        <v>45</v>
      </c>
      <c r="I43" s="43"/>
      <c r="J43" s="5"/>
      <c r="K43" s="5"/>
      <c r="L43" s="5"/>
      <c r="M43" s="5"/>
      <c r="N43" s="5"/>
      <c r="O43" s="5"/>
      <c r="P43" s="5"/>
      <c r="Q43" s="5"/>
      <c r="R43" s="5"/>
      <c r="S43" s="5"/>
      <c r="T43" s="5"/>
      <c r="U43" s="5"/>
      <c r="V43" s="5"/>
      <c r="W43" s="5"/>
      <c r="X43" s="5"/>
      <c r="Y43" s="5"/>
      <c r="Z43" s="5"/>
    </row>
    <row r="44" ht="15.75" customHeight="1">
      <c r="A44" s="38" t="s">
        <v>933</v>
      </c>
      <c r="B44" s="39" t="s">
        <v>934</v>
      </c>
      <c r="C44" s="40" t="s">
        <v>40</v>
      </c>
      <c r="D44" s="41" t="s">
        <v>41</v>
      </c>
      <c r="E44" s="39" t="s">
        <v>935</v>
      </c>
      <c r="F44" s="39" t="s">
        <v>936</v>
      </c>
      <c r="G44" s="39" t="s">
        <v>937</v>
      </c>
      <c r="H44" s="41" t="s">
        <v>45</v>
      </c>
      <c r="I44" s="39"/>
      <c r="J44" s="5"/>
      <c r="K44" s="5"/>
      <c r="L44" s="5"/>
      <c r="M44" s="5"/>
      <c r="N44" s="5"/>
      <c r="O44" s="5"/>
      <c r="P44" s="5"/>
      <c r="Q44" s="5"/>
      <c r="R44" s="5"/>
      <c r="S44" s="5"/>
      <c r="T44" s="5"/>
      <c r="U44" s="5"/>
      <c r="V44" s="5"/>
      <c r="W44" s="5"/>
      <c r="X44" s="5"/>
      <c r="Y44" s="5"/>
      <c r="Z44" s="5"/>
    </row>
    <row r="45" ht="15.75" customHeight="1">
      <c r="A45" s="38" t="s">
        <v>938</v>
      </c>
      <c r="B45" s="43" t="s">
        <v>939</v>
      </c>
      <c r="C45" s="40" t="s">
        <v>40</v>
      </c>
      <c r="D45" s="44" t="s">
        <v>41</v>
      </c>
      <c r="E45" s="43" t="s">
        <v>940</v>
      </c>
      <c r="F45" s="43" t="s">
        <v>941</v>
      </c>
      <c r="G45" s="43" t="s">
        <v>942</v>
      </c>
      <c r="H45" s="44" t="s">
        <v>45</v>
      </c>
      <c r="I45" s="43"/>
      <c r="J45" s="5"/>
      <c r="K45" s="5"/>
      <c r="L45" s="5"/>
      <c r="M45" s="5"/>
      <c r="N45" s="5"/>
      <c r="O45" s="5"/>
      <c r="P45" s="5"/>
      <c r="Q45" s="5"/>
      <c r="R45" s="5"/>
      <c r="S45" s="5"/>
      <c r="T45" s="5"/>
      <c r="U45" s="5"/>
      <c r="V45" s="5"/>
      <c r="W45" s="5"/>
      <c r="X45" s="5"/>
      <c r="Y45" s="5"/>
      <c r="Z45" s="5"/>
    </row>
    <row r="46" ht="15.75" customHeight="1">
      <c r="A46" s="38" t="s">
        <v>943</v>
      </c>
      <c r="B46" s="39" t="s">
        <v>944</v>
      </c>
      <c r="C46" s="40" t="s">
        <v>40</v>
      </c>
      <c r="D46" s="41" t="s">
        <v>41</v>
      </c>
      <c r="E46" s="39" t="s">
        <v>945</v>
      </c>
      <c r="F46" s="39" t="s">
        <v>946</v>
      </c>
      <c r="G46" s="39" t="s">
        <v>947</v>
      </c>
      <c r="H46" s="41" t="s">
        <v>45</v>
      </c>
      <c r="I46" s="39"/>
      <c r="J46" s="5"/>
      <c r="K46" s="5"/>
      <c r="L46" s="5"/>
      <c r="M46" s="5"/>
      <c r="N46" s="5"/>
      <c r="O46" s="5"/>
      <c r="P46" s="5"/>
      <c r="Q46" s="5"/>
      <c r="R46" s="5"/>
      <c r="S46" s="5"/>
      <c r="T46" s="5"/>
      <c r="U46" s="5"/>
      <c r="V46" s="5"/>
      <c r="W46" s="5"/>
      <c r="X46" s="5"/>
      <c r="Y46" s="5"/>
      <c r="Z46" s="5"/>
    </row>
    <row r="47" ht="15.75" customHeight="1">
      <c r="A47" s="38" t="s">
        <v>948</v>
      </c>
      <c r="B47" s="43" t="s">
        <v>949</v>
      </c>
      <c r="C47" s="40" t="s">
        <v>40</v>
      </c>
      <c r="D47" s="44" t="s">
        <v>41</v>
      </c>
      <c r="E47" s="43" t="s">
        <v>950</v>
      </c>
      <c r="F47" s="43" t="s">
        <v>951</v>
      </c>
      <c r="G47" s="43" t="s">
        <v>952</v>
      </c>
      <c r="H47" s="44" t="s">
        <v>45</v>
      </c>
      <c r="I47" s="43"/>
      <c r="J47" s="5"/>
      <c r="K47" s="5"/>
      <c r="L47" s="5"/>
      <c r="M47" s="5"/>
      <c r="N47" s="5"/>
      <c r="O47" s="5"/>
      <c r="P47" s="5"/>
      <c r="Q47" s="5"/>
      <c r="R47" s="5"/>
      <c r="S47" s="5"/>
      <c r="T47" s="5"/>
      <c r="U47" s="5"/>
      <c r="V47" s="5"/>
      <c r="W47" s="5"/>
      <c r="X47" s="5"/>
      <c r="Y47" s="5"/>
      <c r="Z47" s="5"/>
    </row>
    <row r="48" ht="15.75" customHeight="1">
      <c r="A48" s="38" t="s">
        <v>953</v>
      </c>
      <c r="B48" s="39" t="s">
        <v>954</v>
      </c>
      <c r="C48" s="45" t="s">
        <v>53</v>
      </c>
      <c r="D48" s="41" t="s">
        <v>41</v>
      </c>
      <c r="E48" s="39" t="s">
        <v>955</v>
      </c>
      <c r="F48" s="39" t="s">
        <v>956</v>
      </c>
      <c r="G48" s="39" t="s">
        <v>957</v>
      </c>
      <c r="H48" s="41" t="s">
        <v>45</v>
      </c>
      <c r="I48" s="39"/>
      <c r="J48" s="5"/>
      <c r="K48" s="5"/>
      <c r="L48" s="5"/>
      <c r="M48" s="5"/>
      <c r="N48" s="5"/>
      <c r="O48" s="5"/>
      <c r="P48" s="5"/>
      <c r="Q48" s="5"/>
      <c r="R48" s="5"/>
      <c r="S48" s="5"/>
      <c r="T48" s="5"/>
      <c r="U48" s="5"/>
      <c r="V48" s="5"/>
      <c r="W48" s="5"/>
      <c r="X48" s="5"/>
      <c r="Y48" s="5"/>
      <c r="Z48" s="5"/>
    </row>
    <row r="49" ht="15.75" customHeight="1">
      <c r="A49" s="38" t="s">
        <v>958</v>
      </c>
      <c r="B49" s="43" t="s">
        <v>959</v>
      </c>
      <c r="C49" s="45" t="s">
        <v>53</v>
      </c>
      <c r="D49" s="44" t="s">
        <v>41</v>
      </c>
      <c r="E49" s="43" t="s">
        <v>960</v>
      </c>
      <c r="F49" s="43" t="s">
        <v>961</v>
      </c>
      <c r="G49" s="43" t="s">
        <v>962</v>
      </c>
      <c r="H49" s="44" t="s">
        <v>45</v>
      </c>
      <c r="I49" s="43"/>
      <c r="J49" s="5"/>
      <c r="K49" s="5"/>
      <c r="L49" s="5"/>
      <c r="M49" s="5"/>
      <c r="N49" s="5"/>
      <c r="O49" s="5"/>
      <c r="P49" s="5"/>
      <c r="Q49" s="5"/>
      <c r="R49" s="5"/>
      <c r="S49" s="5"/>
      <c r="T49" s="5"/>
      <c r="U49" s="5"/>
      <c r="V49" s="5"/>
      <c r="W49" s="5"/>
      <c r="X49" s="5"/>
      <c r="Y49" s="5"/>
      <c r="Z49" s="5"/>
    </row>
    <row r="50" ht="15.75" customHeight="1">
      <c r="A50" s="38" t="s">
        <v>963</v>
      </c>
      <c r="B50" s="39" t="s">
        <v>964</v>
      </c>
      <c r="C50" s="40" t="s">
        <v>40</v>
      </c>
      <c r="D50" s="41" t="s">
        <v>41</v>
      </c>
      <c r="E50" s="39" t="s">
        <v>965</v>
      </c>
      <c r="F50" s="39" t="s">
        <v>966</v>
      </c>
      <c r="G50" s="39" t="s">
        <v>967</v>
      </c>
      <c r="H50" s="41" t="s">
        <v>45</v>
      </c>
      <c r="I50" s="39"/>
      <c r="J50" s="5"/>
      <c r="K50" s="5"/>
      <c r="L50" s="5"/>
      <c r="M50" s="5"/>
      <c r="N50" s="5"/>
      <c r="O50" s="5"/>
      <c r="P50" s="5"/>
      <c r="Q50" s="5"/>
      <c r="R50" s="5"/>
      <c r="S50" s="5"/>
      <c r="T50" s="5"/>
      <c r="U50" s="5"/>
      <c r="V50" s="5"/>
      <c r="W50" s="5"/>
      <c r="X50" s="5"/>
      <c r="Y50" s="5"/>
      <c r="Z50" s="5"/>
    </row>
    <row r="51" ht="15.75" customHeight="1">
      <c r="A51" s="38" t="s">
        <v>968</v>
      </c>
      <c r="B51" s="43" t="s">
        <v>969</v>
      </c>
      <c r="C51" s="45" t="s">
        <v>53</v>
      </c>
      <c r="D51" s="44" t="s">
        <v>41</v>
      </c>
      <c r="E51" s="43" t="s">
        <v>970</v>
      </c>
      <c r="F51" s="43" t="s">
        <v>971</v>
      </c>
      <c r="G51" s="43" t="s">
        <v>972</v>
      </c>
      <c r="H51" s="44" t="s">
        <v>45</v>
      </c>
      <c r="I51" s="43"/>
      <c r="J51" s="5"/>
      <c r="K51" s="5"/>
      <c r="L51" s="5"/>
      <c r="M51" s="5"/>
      <c r="N51" s="5"/>
      <c r="O51" s="5"/>
      <c r="P51" s="5"/>
      <c r="Q51" s="5"/>
      <c r="R51" s="5"/>
      <c r="S51" s="5"/>
      <c r="T51" s="5"/>
      <c r="U51" s="5"/>
      <c r="V51" s="5"/>
      <c r="W51" s="5"/>
      <c r="X51" s="5"/>
      <c r="Y51" s="5"/>
      <c r="Z51" s="5"/>
    </row>
    <row r="52" ht="15.75" customHeight="1">
      <c r="A52" s="38" t="s">
        <v>973</v>
      </c>
      <c r="B52" s="39" t="s">
        <v>974</v>
      </c>
      <c r="C52" s="40" t="s">
        <v>40</v>
      </c>
      <c r="D52" s="41" t="s">
        <v>41</v>
      </c>
      <c r="E52" s="39" t="s">
        <v>975</v>
      </c>
      <c r="F52" s="39" t="s">
        <v>976</v>
      </c>
      <c r="G52" s="39" t="s">
        <v>977</v>
      </c>
      <c r="H52" s="41" t="s">
        <v>45</v>
      </c>
      <c r="I52" s="39"/>
      <c r="J52" s="5"/>
      <c r="K52" s="5"/>
      <c r="L52" s="5"/>
      <c r="M52" s="5"/>
      <c r="N52" s="5"/>
      <c r="O52" s="5"/>
      <c r="P52" s="5"/>
      <c r="Q52" s="5"/>
      <c r="R52" s="5"/>
      <c r="S52" s="5"/>
      <c r="T52" s="5"/>
      <c r="U52" s="5"/>
      <c r="V52" s="5"/>
      <c r="W52" s="5"/>
      <c r="X52" s="5"/>
      <c r="Y52" s="5"/>
      <c r="Z52" s="5"/>
    </row>
    <row r="53" ht="15.75" customHeight="1">
      <c r="A53" s="38" t="s">
        <v>978</v>
      </c>
      <c r="B53" s="43" t="s">
        <v>979</v>
      </c>
      <c r="C53" s="40" t="s">
        <v>40</v>
      </c>
      <c r="D53" s="44" t="s">
        <v>41</v>
      </c>
      <c r="E53" s="43" t="s">
        <v>980</v>
      </c>
      <c r="F53" s="43" t="s">
        <v>981</v>
      </c>
      <c r="G53" s="43" t="s">
        <v>982</v>
      </c>
      <c r="H53" s="44" t="s">
        <v>45</v>
      </c>
      <c r="I53" s="43"/>
      <c r="J53" s="5"/>
      <c r="K53" s="5"/>
      <c r="L53" s="5"/>
      <c r="M53" s="5"/>
      <c r="N53" s="5"/>
      <c r="O53" s="5"/>
      <c r="P53" s="5"/>
      <c r="Q53" s="5"/>
      <c r="R53" s="5"/>
      <c r="S53" s="5"/>
      <c r="T53" s="5"/>
      <c r="U53" s="5"/>
      <c r="V53" s="5"/>
      <c r="W53" s="5"/>
      <c r="X53" s="5"/>
      <c r="Y53" s="5"/>
      <c r="Z53" s="5"/>
    </row>
    <row r="54" ht="15.75" customHeight="1">
      <c r="A54" s="38" t="s">
        <v>983</v>
      </c>
      <c r="B54" s="39" t="s">
        <v>984</v>
      </c>
      <c r="C54" s="45" t="s">
        <v>53</v>
      </c>
      <c r="D54" s="41" t="s">
        <v>41</v>
      </c>
      <c r="E54" s="39" t="s">
        <v>985</v>
      </c>
      <c r="F54" s="39" t="s">
        <v>986</v>
      </c>
      <c r="G54" s="39" t="s">
        <v>987</v>
      </c>
      <c r="H54" s="41" t="s">
        <v>45</v>
      </c>
      <c r="I54" s="39"/>
      <c r="J54" s="5"/>
      <c r="K54" s="5"/>
      <c r="L54" s="5"/>
      <c r="M54" s="5"/>
      <c r="N54" s="5"/>
      <c r="O54" s="5"/>
      <c r="P54" s="5"/>
      <c r="Q54" s="5"/>
      <c r="R54" s="5"/>
      <c r="S54" s="5"/>
      <c r="T54" s="5"/>
      <c r="U54" s="5"/>
      <c r="V54" s="5"/>
      <c r="W54" s="5"/>
      <c r="X54" s="5"/>
      <c r="Y54" s="5"/>
      <c r="Z54" s="5"/>
    </row>
    <row r="55" ht="15.75" customHeight="1">
      <c r="A55" s="38" t="s">
        <v>988</v>
      </c>
      <c r="B55" s="43" t="s">
        <v>989</v>
      </c>
      <c r="C55" s="40" t="s">
        <v>40</v>
      </c>
      <c r="D55" s="44" t="s">
        <v>41</v>
      </c>
      <c r="E55" s="43" t="s">
        <v>990</v>
      </c>
      <c r="F55" s="43" t="s">
        <v>991</v>
      </c>
      <c r="G55" s="43" t="s">
        <v>992</v>
      </c>
      <c r="H55" s="44" t="s">
        <v>45</v>
      </c>
      <c r="I55" s="43"/>
      <c r="J55" s="5"/>
      <c r="K55" s="5"/>
      <c r="L55" s="5"/>
      <c r="M55" s="5"/>
      <c r="N55" s="5"/>
      <c r="O55" s="5"/>
      <c r="P55" s="5"/>
      <c r="Q55" s="5"/>
      <c r="R55" s="5"/>
      <c r="S55" s="5"/>
      <c r="T55" s="5"/>
      <c r="U55" s="5"/>
      <c r="V55" s="5"/>
      <c r="W55" s="5"/>
      <c r="X55" s="5"/>
      <c r="Y55" s="5"/>
      <c r="Z55" s="5"/>
    </row>
    <row r="56" ht="15.75" customHeight="1">
      <c r="A56" s="38" t="s">
        <v>993</v>
      </c>
      <c r="B56" s="39" t="s">
        <v>994</v>
      </c>
      <c r="C56" s="40" t="s">
        <v>40</v>
      </c>
      <c r="D56" s="41" t="s">
        <v>41</v>
      </c>
      <c r="E56" s="39" t="s">
        <v>995</v>
      </c>
      <c r="F56" s="39" t="s">
        <v>996</v>
      </c>
      <c r="G56" s="39" t="s">
        <v>997</v>
      </c>
      <c r="H56" s="41" t="s">
        <v>45</v>
      </c>
      <c r="I56" s="39"/>
      <c r="J56" s="5"/>
      <c r="K56" s="5"/>
      <c r="L56" s="5"/>
      <c r="M56" s="5"/>
      <c r="N56" s="5"/>
      <c r="O56" s="5"/>
      <c r="P56" s="5"/>
      <c r="Q56" s="5"/>
      <c r="R56" s="5"/>
      <c r="S56" s="5"/>
      <c r="T56" s="5"/>
      <c r="U56" s="5"/>
      <c r="V56" s="5"/>
      <c r="W56" s="5"/>
      <c r="X56" s="5"/>
      <c r="Y56" s="5"/>
      <c r="Z56" s="5"/>
    </row>
    <row r="57" ht="15.75" customHeight="1">
      <c r="A57" s="38" t="s">
        <v>998</v>
      </c>
      <c r="B57" s="43" t="s">
        <v>999</v>
      </c>
      <c r="C57" s="40" t="s">
        <v>40</v>
      </c>
      <c r="D57" s="44" t="s">
        <v>41</v>
      </c>
      <c r="E57" s="43" t="s">
        <v>1000</v>
      </c>
      <c r="F57" s="43" t="s">
        <v>1001</v>
      </c>
      <c r="G57" s="43" t="s">
        <v>1002</v>
      </c>
      <c r="H57" s="44" t="s">
        <v>45</v>
      </c>
      <c r="I57" s="43"/>
      <c r="J57" s="5"/>
      <c r="K57" s="5"/>
      <c r="L57" s="5"/>
      <c r="M57" s="5"/>
      <c r="N57" s="5"/>
      <c r="O57" s="5"/>
      <c r="P57" s="5"/>
      <c r="Q57" s="5"/>
      <c r="R57" s="5"/>
      <c r="S57" s="5"/>
      <c r="T57" s="5"/>
      <c r="U57" s="5"/>
      <c r="V57" s="5"/>
      <c r="W57" s="5"/>
      <c r="X57" s="5"/>
      <c r="Y57" s="5"/>
      <c r="Z57" s="5"/>
    </row>
    <row r="58" ht="15.75" customHeight="1">
      <c r="A58" s="38" t="s">
        <v>1003</v>
      </c>
      <c r="B58" s="39" t="s">
        <v>1004</v>
      </c>
      <c r="C58" s="40" t="s">
        <v>40</v>
      </c>
      <c r="D58" s="41" t="s">
        <v>41</v>
      </c>
      <c r="E58" s="39" t="s">
        <v>1005</v>
      </c>
      <c r="F58" s="39" t="s">
        <v>1006</v>
      </c>
      <c r="G58" s="39" t="s">
        <v>1007</v>
      </c>
      <c r="H58" s="41" t="s">
        <v>45</v>
      </c>
      <c r="I58" s="39"/>
      <c r="J58" s="5"/>
      <c r="K58" s="5"/>
      <c r="L58" s="5"/>
      <c r="M58" s="5"/>
      <c r="N58" s="5"/>
      <c r="O58" s="5"/>
      <c r="P58" s="5"/>
      <c r="Q58" s="5"/>
      <c r="R58" s="5"/>
      <c r="S58" s="5"/>
      <c r="T58" s="5"/>
      <c r="U58" s="5"/>
      <c r="V58" s="5"/>
      <c r="W58" s="5"/>
      <c r="X58" s="5"/>
      <c r="Y58" s="5"/>
      <c r="Z58" s="5"/>
    </row>
    <row r="59" ht="15.75" customHeight="1">
      <c r="A59" s="38" t="s">
        <v>1008</v>
      </c>
      <c r="B59" s="43" t="s">
        <v>1009</v>
      </c>
      <c r="C59" s="40" t="s">
        <v>40</v>
      </c>
      <c r="D59" s="44" t="s">
        <v>41</v>
      </c>
      <c r="E59" s="43" t="s">
        <v>693</v>
      </c>
      <c r="F59" s="43" t="s">
        <v>1010</v>
      </c>
      <c r="G59" s="43" t="s">
        <v>1011</v>
      </c>
      <c r="H59" s="44" t="s">
        <v>45</v>
      </c>
      <c r="I59" s="43"/>
      <c r="J59" s="5"/>
      <c r="K59" s="5"/>
      <c r="L59" s="5"/>
      <c r="M59" s="5"/>
      <c r="N59" s="5"/>
      <c r="O59" s="5"/>
      <c r="P59" s="5"/>
      <c r="Q59" s="5"/>
      <c r="R59" s="5"/>
      <c r="S59" s="5"/>
      <c r="T59" s="5"/>
      <c r="U59" s="5"/>
      <c r="V59" s="5"/>
      <c r="W59" s="5"/>
      <c r="X59" s="5"/>
      <c r="Y59" s="5"/>
      <c r="Z59" s="5"/>
    </row>
    <row r="60" ht="15.75" customHeight="1">
      <c r="A60" s="38" t="s">
        <v>1012</v>
      </c>
      <c r="B60" s="39" t="s">
        <v>1013</v>
      </c>
      <c r="C60" s="45" t="s">
        <v>53</v>
      </c>
      <c r="D60" s="41" t="s">
        <v>41</v>
      </c>
      <c r="E60" s="53" t="s">
        <v>698</v>
      </c>
      <c r="F60" s="39" t="s">
        <v>1014</v>
      </c>
      <c r="G60" s="39" t="s">
        <v>1015</v>
      </c>
      <c r="H60" s="41" t="s">
        <v>45</v>
      </c>
      <c r="I60" s="39" t="s">
        <v>701</v>
      </c>
      <c r="J60" s="5"/>
      <c r="K60" s="5"/>
      <c r="L60" s="5"/>
      <c r="M60" s="5"/>
      <c r="N60" s="5"/>
      <c r="O60" s="5"/>
      <c r="P60" s="5"/>
      <c r="Q60" s="5"/>
      <c r="R60" s="5"/>
      <c r="S60" s="5"/>
      <c r="T60" s="5"/>
      <c r="U60" s="5"/>
      <c r="V60" s="5"/>
      <c r="W60" s="5"/>
      <c r="X60" s="5"/>
      <c r="Y60" s="5"/>
      <c r="Z60" s="5"/>
    </row>
    <row r="61" ht="15.75" customHeight="1">
      <c r="A61" s="38" t="s">
        <v>1016</v>
      </c>
      <c r="B61" s="39" t="s">
        <v>1017</v>
      </c>
      <c r="C61" s="45" t="s">
        <v>53</v>
      </c>
      <c r="D61" s="41" t="s">
        <v>755</v>
      </c>
      <c r="E61" s="53" t="s">
        <v>1018</v>
      </c>
      <c r="F61" s="39" t="s">
        <v>1019</v>
      </c>
      <c r="G61" s="39" t="s">
        <v>1020</v>
      </c>
      <c r="H61" s="56" t="s">
        <v>45</v>
      </c>
      <c r="I61" s="39"/>
      <c r="J61" s="5"/>
      <c r="K61" s="5"/>
      <c r="L61" s="5"/>
      <c r="M61" s="5"/>
      <c r="N61" s="5"/>
      <c r="O61" s="5"/>
      <c r="P61" s="5"/>
      <c r="Q61" s="5"/>
      <c r="R61" s="5"/>
      <c r="S61" s="5"/>
      <c r="T61" s="5"/>
      <c r="U61" s="5"/>
      <c r="V61" s="5"/>
      <c r="W61" s="5"/>
      <c r="X61" s="5"/>
      <c r="Y61" s="5"/>
      <c r="Z61" s="5"/>
    </row>
    <row r="62" ht="15.75" customHeight="1">
      <c r="A62" s="38" t="s">
        <v>1021</v>
      </c>
      <c r="B62" s="39" t="s">
        <v>1022</v>
      </c>
      <c r="C62" s="40" t="s">
        <v>40</v>
      </c>
      <c r="D62" s="41" t="s">
        <v>41</v>
      </c>
      <c r="E62" s="53" t="s">
        <v>1023</v>
      </c>
      <c r="F62" s="39" t="s">
        <v>1024</v>
      </c>
      <c r="G62" s="39" t="s">
        <v>1025</v>
      </c>
      <c r="H62" s="56" t="s">
        <v>45</v>
      </c>
      <c r="I62" s="39"/>
      <c r="J62" s="5"/>
      <c r="K62" s="5"/>
      <c r="L62" s="5"/>
      <c r="M62" s="5"/>
      <c r="N62" s="5"/>
      <c r="O62" s="5"/>
      <c r="P62" s="5"/>
      <c r="Q62" s="5"/>
      <c r="R62" s="5"/>
      <c r="S62" s="5"/>
      <c r="T62" s="5"/>
      <c r="U62" s="5"/>
      <c r="V62" s="5"/>
      <c r="W62" s="5"/>
      <c r="X62" s="5"/>
      <c r="Y62" s="5"/>
      <c r="Z62" s="5"/>
    </row>
    <row r="63" ht="15.75" customHeight="1">
      <c r="A63" s="38" t="s">
        <v>1026</v>
      </c>
      <c r="B63" s="39" t="s">
        <v>1027</v>
      </c>
      <c r="C63" s="45" t="s">
        <v>53</v>
      </c>
      <c r="D63" s="41" t="s">
        <v>41</v>
      </c>
      <c r="E63" s="53" t="s">
        <v>1023</v>
      </c>
      <c r="F63" s="39" t="s">
        <v>1028</v>
      </c>
      <c r="G63" s="39" t="s">
        <v>1029</v>
      </c>
      <c r="H63" s="56" t="s">
        <v>45</v>
      </c>
      <c r="I63" s="39"/>
      <c r="J63" s="5"/>
      <c r="K63" s="5"/>
      <c r="L63" s="5"/>
      <c r="M63" s="5"/>
      <c r="N63" s="5"/>
      <c r="O63" s="5"/>
      <c r="P63" s="5"/>
      <c r="Q63" s="5"/>
      <c r="R63" s="5"/>
      <c r="S63" s="5"/>
      <c r="T63" s="5"/>
      <c r="U63" s="5"/>
      <c r="V63" s="5"/>
      <c r="W63" s="5"/>
      <c r="X63" s="5"/>
      <c r="Y63" s="5"/>
      <c r="Z63" s="5"/>
    </row>
    <row r="64" ht="15.75" customHeight="1">
      <c r="A64" s="38" t="s">
        <v>1030</v>
      </c>
      <c r="B64" s="39" t="s">
        <v>1031</v>
      </c>
      <c r="C64" s="46" t="s">
        <v>74</v>
      </c>
      <c r="D64" s="41" t="s">
        <v>755</v>
      </c>
      <c r="E64" s="53" t="s">
        <v>1032</v>
      </c>
      <c r="F64" s="39" t="s">
        <v>1033</v>
      </c>
      <c r="G64" s="39" t="s">
        <v>1034</v>
      </c>
      <c r="H64" s="56" t="s">
        <v>45</v>
      </c>
      <c r="I64" s="39"/>
      <c r="J64" s="5"/>
      <c r="K64" s="5"/>
      <c r="L64" s="5"/>
      <c r="M64" s="5"/>
      <c r="N64" s="5"/>
      <c r="O64" s="5"/>
      <c r="P64" s="5"/>
      <c r="Q64" s="5"/>
      <c r="R64" s="5"/>
      <c r="S64" s="5"/>
      <c r="T64" s="5"/>
      <c r="U64" s="5"/>
      <c r="V64" s="5"/>
      <c r="W64" s="5"/>
      <c r="X64" s="5"/>
      <c r="Y64" s="5"/>
      <c r="Z64" s="5"/>
    </row>
    <row r="65" ht="15.75" customHeight="1">
      <c r="A65" s="38" t="s">
        <v>1035</v>
      </c>
      <c r="B65" s="39" t="s">
        <v>1036</v>
      </c>
      <c r="C65" s="46" t="s">
        <v>74</v>
      </c>
      <c r="D65" s="41" t="s">
        <v>755</v>
      </c>
      <c r="E65" s="53" t="s">
        <v>1023</v>
      </c>
      <c r="F65" s="39" t="s">
        <v>1037</v>
      </c>
      <c r="G65" s="39" t="s">
        <v>1038</v>
      </c>
      <c r="H65" s="56" t="s">
        <v>45</v>
      </c>
      <c r="I65" s="39"/>
      <c r="J65" s="5"/>
      <c r="K65" s="5"/>
      <c r="L65" s="5"/>
      <c r="M65" s="5"/>
      <c r="N65" s="5"/>
      <c r="O65" s="5"/>
      <c r="P65" s="5"/>
      <c r="Q65" s="5"/>
      <c r="R65" s="5"/>
      <c r="S65" s="5"/>
      <c r="T65" s="5"/>
      <c r="U65" s="5"/>
      <c r="V65" s="5"/>
      <c r="W65" s="5"/>
      <c r="X65" s="5"/>
      <c r="Y65" s="5"/>
      <c r="Z65" s="5"/>
    </row>
    <row r="66" ht="15.75" customHeight="1">
      <c r="A66" s="38" t="s">
        <v>1039</v>
      </c>
      <c r="B66" s="39" t="s">
        <v>1040</v>
      </c>
      <c r="C66" s="40" t="s">
        <v>40</v>
      </c>
      <c r="D66" s="41" t="s">
        <v>41</v>
      </c>
      <c r="E66" s="53" t="s">
        <v>1041</v>
      </c>
      <c r="F66" s="39" t="s">
        <v>1042</v>
      </c>
      <c r="G66" s="39" t="s">
        <v>1043</v>
      </c>
      <c r="H66" s="56" t="s">
        <v>45</v>
      </c>
      <c r="I66" s="52" t="s">
        <v>1044</v>
      </c>
      <c r="J66" s="5"/>
      <c r="K66" s="5"/>
      <c r="L66" s="5"/>
      <c r="M66" s="5"/>
      <c r="N66" s="5"/>
      <c r="O66" s="5"/>
      <c r="P66" s="5"/>
      <c r="Q66" s="5"/>
      <c r="R66" s="5"/>
      <c r="S66" s="5"/>
      <c r="T66" s="5"/>
      <c r="U66" s="5"/>
      <c r="V66" s="5"/>
      <c r="W66" s="5"/>
      <c r="X66" s="5"/>
      <c r="Y66" s="5"/>
      <c r="Z66" s="5"/>
    </row>
    <row r="67" ht="15.75" customHeight="1">
      <c r="A67" s="38" t="s">
        <v>1045</v>
      </c>
      <c r="B67" s="39" t="s">
        <v>1046</v>
      </c>
      <c r="C67" s="45" t="s">
        <v>53</v>
      </c>
      <c r="D67" s="41" t="s">
        <v>360</v>
      </c>
      <c r="E67" s="53" t="s">
        <v>1047</v>
      </c>
      <c r="F67" s="39" t="s">
        <v>1048</v>
      </c>
      <c r="G67" s="39" t="s">
        <v>1049</v>
      </c>
      <c r="H67" s="56" t="s">
        <v>45</v>
      </c>
      <c r="I67" s="39"/>
      <c r="J67" s="5"/>
      <c r="K67" s="5"/>
      <c r="L67" s="5"/>
      <c r="M67" s="5"/>
      <c r="N67" s="5"/>
      <c r="O67" s="5"/>
      <c r="P67" s="5"/>
      <c r="Q67" s="5"/>
      <c r="R67" s="5"/>
      <c r="S67" s="5"/>
      <c r="T67" s="5"/>
      <c r="U67" s="5"/>
      <c r="V67" s="5"/>
      <c r="W67" s="5"/>
      <c r="X67" s="5"/>
      <c r="Y67" s="5"/>
      <c r="Z67" s="5"/>
    </row>
    <row r="68" ht="15.75" customHeight="1">
      <c r="A68" s="38" t="s">
        <v>1050</v>
      </c>
      <c r="B68" s="39" t="s">
        <v>1051</v>
      </c>
      <c r="C68" s="40" t="s">
        <v>40</v>
      </c>
      <c r="D68" s="41" t="s">
        <v>360</v>
      </c>
      <c r="E68" s="53" t="s">
        <v>1052</v>
      </c>
      <c r="F68" s="39" t="s">
        <v>1053</v>
      </c>
      <c r="G68" s="53" t="s">
        <v>1054</v>
      </c>
      <c r="H68" s="56" t="s">
        <v>45</v>
      </c>
      <c r="I68" s="39"/>
      <c r="J68" s="5"/>
      <c r="K68" s="5"/>
      <c r="L68" s="5"/>
      <c r="M68" s="5"/>
      <c r="N68" s="5"/>
      <c r="O68" s="5"/>
      <c r="P68" s="5"/>
      <c r="Q68" s="5"/>
      <c r="R68" s="5"/>
      <c r="S68" s="5"/>
      <c r="T68" s="5"/>
      <c r="U68" s="5"/>
      <c r="V68" s="5"/>
      <c r="W68" s="5"/>
      <c r="X68" s="5"/>
      <c r="Y68" s="5"/>
      <c r="Z68" s="5"/>
    </row>
    <row r="69" ht="15.75" customHeight="1">
      <c r="A69" s="38" t="s">
        <v>1055</v>
      </c>
      <c r="B69" s="39" t="s">
        <v>1056</v>
      </c>
      <c r="C69" s="45" t="s">
        <v>40</v>
      </c>
      <c r="D69" s="41" t="s">
        <v>41</v>
      </c>
      <c r="E69" s="53" t="s">
        <v>1057</v>
      </c>
      <c r="F69" s="39" t="s">
        <v>1058</v>
      </c>
      <c r="G69" s="39" t="s">
        <v>1059</v>
      </c>
      <c r="H69" s="56" t="s">
        <v>45</v>
      </c>
      <c r="I69" s="39" t="s">
        <v>1060</v>
      </c>
      <c r="J69" s="5"/>
      <c r="K69" s="5"/>
      <c r="L69" s="5"/>
      <c r="M69" s="5"/>
      <c r="N69" s="5"/>
      <c r="O69" s="5"/>
      <c r="P69" s="5"/>
      <c r="Q69" s="5"/>
      <c r="R69" s="5"/>
      <c r="S69" s="5"/>
      <c r="T69" s="5"/>
      <c r="U69" s="5"/>
      <c r="V69" s="5"/>
      <c r="W69" s="5"/>
      <c r="X69" s="5"/>
      <c r="Y69" s="5"/>
      <c r="Z69" s="5"/>
    </row>
    <row r="70" ht="15.75" customHeight="1">
      <c r="A70" s="38" t="s">
        <v>1061</v>
      </c>
      <c r="B70" s="39" t="s">
        <v>1062</v>
      </c>
      <c r="C70" s="40" t="s">
        <v>40</v>
      </c>
      <c r="D70" s="41" t="s">
        <v>41</v>
      </c>
      <c r="E70" s="53" t="s">
        <v>1063</v>
      </c>
      <c r="F70" s="39" t="s">
        <v>1064</v>
      </c>
      <c r="G70" s="53" t="s">
        <v>1065</v>
      </c>
      <c r="H70" s="56" t="s">
        <v>45</v>
      </c>
      <c r="I70" s="39" t="s">
        <v>1066</v>
      </c>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sheetData>
  <mergeCells count="2">
    <mergeCell ref="A1:I1"/>
    <mergeCell ref="A2:I2"/>
  </mergeCells>
  <conditionalFormatting sqref="A5:I14">
    <cfRule type="expression" dxfId="2" priority="1">
      <formula>$H5="Pass"</formula>
    </cfRule>
  </conditionalFormatting>
  <conditionalFormatting sqref="A5:I14">
    <cfRule type="expression" dxfId="1" priority="2">
      <formula>$H5="Fail"</formula>
    </cfRule>
  </conditionalFormatting>
  <conditionalFormatting sqref="A5:I14">
    <cfRule type="expression" dxfId="0" priority="3">
      <formula>$H5="Blocked"</formula>
    </cfRule>
  </conditionalFormatting>
  <conditionalFormatting sqref="A5:I23 C64:C65">
    <cfRule type="expression" dxfId="2" priority="4">
      <formula>$H5="Pass"</formula>
    </cfRule>
  </conditionalFormatting>
  <conditionalFormatting sqref="A5:I23 C64:C65">
    <cfRule type="expression" dxfId="1" priority="5">
      <formula>$H5="Fail"</formula>
    </cfRule>
  </conditionalFormatting>
  <conditionalFormatting sqref="A5:I23 C64:C65">
    <cfRule type="expression" dxfId="0" priority="6">
      <formula>$H5="Blocked"</formula>
    </cfRule>
  </conditionalFormatting>
  <conditionalFormatting sqref="A5:A70 B5:I29 C64:C65">
    <cfRule type="expression" dxfId="2" priority="7">
      <formula>$H5="Pass"</formula>
    </cfRule>
  </conditionalFormatting>
  <conditionalFormatting sqref="A5:A70 B5:I29 C64:C65">
    <cfRule type="expression" dxfId="1" priority="8">
      <formula>$H5="Fail"</formula>
    </cfRule>
  </conditionalFormatting>
  <conditionalFormatting sqref="A5:A70 B5:I29 C64:C65">
    <cfRule type="expression" dxfId="0" priority="9">
      <formula>$H5="Blocked"</formula>
    </cfRule>
  </conditionalFormatting>
  <conditionalFormatting sqref="A5:A70 B5:I32 C64:C65">
    <cfRule type="expression" dxfId="2" priority="10">
      <formula>$H5="Pass"</formula>
    </cfRule>
  </conditionalFormatting>
  <conditionalFormatting sqref="A5:A70 B5:I32 C64:C65">
    <cfRule type="expression" dxfId="1" priority="11">
      <formula>$H5="Fail"</formula>
    </cfRule>
  </conditionalFormatting>
  <conditionalFormatting sqref="A5:A70 B5:I32 C64:C65">
    <cfRule type="expression" dxfId="0" priority="12">
      <formula>$H5="Blocked"</formula>
    </cfRule>
  </conditionalFormatting>
  <conditionalFormatting sqref="A5:A70 B5:I40 C48:C49 C51 C54 C60:C61 C63:C65 C67 C69">
    <cfRule type="expression" dxfId="2" priority="13">
      <formula>$H5="Pass"</formula>
    </cfRule>
  </conditionalFormatting>
  <conditionalFormatting sqref="A5:A70 B5:I40 C48:C49 C51 C54 C60:C61 C63:C65 C67 C69">
    <cfRule type="expression" dxfId="1" priority="14">
      <formula>$H5="Fail"</formula>
    </cfRule>
  </conditionalFormatting>
  <conditionalFormatting sqref="A5:A70 B5:I40 C48:C49 C51 C54 C60:C61 C63:C65 C67 C69">
    <cfRule type="expression" dxfId="0" priority="15">
      <formula>$H5="Blocked"</formula>
    </cfRule>
  </conditionalFormatting>
  <conditionalFormatting sqref="A5:I70">
    <cfRule type="expression" dxfId="2" priority="16">
      <formula>$H5="Pass"</formula>
    </cfRule>
  </conditionalFormatting>
  <conditionalFormatting sqref="A5:I70">
    <cfRule type="expression" dxfId="1" priority="17">
      <formula>$H5="Fail"</formula>
    </cfRule>
  </conditionalFormatting>
  <conditionalFormatting sqref="A5:I70">
    <cfRule type="expression" dxfId="0" priority="18">
      <formula>$H5="Blocked"</formula>
    </cfRule>
  </conditionalFormatting>
  <dataValidations>
    <dataValidation type="list" allowBlank="1" sqref="H5:H58">
      <formula1>"Pass,Fail,Blocked,Not Run"</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AD3"/>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32.0"/>
    <col customWidth="1" min="3" max="3" width="10.0"/>
    <col customWidth="1" min="4" max="4" width="13.0"/>
    <col customWidth="1" min="5" max="5" width="30.0"/>
    <col customWidth="1" min="6" max="7" width="42.0"/>
    <col customWidth="1" min="8" max="8" width="12.0"/>
    <col customWidth="1" min="9" max="9" width="30.0"/>
  </cols>
  <sheetData>
    <row r="1" ht="31.5" customHeight="1">
      <c r="A1" s="35" t="s">
        <v>1067</v>
      </c>
      <c r="B1" s="3"/>
      <c r="C1" s="3"/>
      <c r="D1" s="3"/>
      <c r="E1" s="3"/>
      <c r="F1" s="3"/>
      <c r="G1" s="3"/>
      <c r="H1" s="3"/>
      <c r="I1" s="4"/>
      <c r="J1" s="5"/>
      <c r="K1" s="5"/>
      <c r="L1" s="5"/>
      <c r="M1" s="5"/>
      <c r="N1" s="5"/>
      <c r="O1" s="5"/>
      <c r="P1" s="5"/>
      <c r="Q1" s="5"/>
      <c r="R1" s="5"/>
      <c r="S1" s="5"/>
      <c r="T1" s="5"/>
      <c r="U1" s="5"/>
      <c r="V1" s="5"/>
      <c r="W1" s="5"/>
      <c r="X1" s="5"/>
      <c r="Y1" s="5"/>
      <c r="Z1" s="5"/>
    </row>
    <row r="2" ht="15.75" customHeight="1">
      <c r="A2" s="36" t="s">
        <v>1068</v>
      </c>
      <c r="B2" s="3"/>
      <c r="C2" s="3"/>
      <c r="D2" s="3"/>
      <c r="E2" s="3"/>
      <c r="F2" s="3"/>
      <c r="G2" s="3"/>
      <c r="H2" s="3"/>
      <c r="I2" s="4"/>
      <c r="J2" s="5"/>
      <c r="K2" s="5"/>
      <c r="L2" s="5"/>
      <c r="M2" s="5"/>
      <c r="N2" s="5"/>
      <c r="O2" s="5"/>
      <c r="P2" s="5"/>
      <c r="Q2" s="5"/>
      <c r="R2" s="5"/>
      <c r="S2" s="5"/>
      <c r="T2" s="5"/>
      <c r="U2" s="5"/>
      <c r="V2" s="5"/>
      <c r="W2" s="5"/>
      <c r="X2" s="5"/>
      <c r="Y2" s="5"/>
      <c r="Z2" s="5"/>
    </row>
    <row r="3" ht="7.5" customHeight="1">
      <c r="A3" s="5"/>
      <c r="B3" s="5"/>
      <c r="C3" s="5"/>
      <c r="D3" s="5"/>
      <c r="E3" s="5"/>
      <c r="F3" s="5"/>
      <c r="G3" s="5"/>
      <c r="H3" s="5"/>
      <c r="I3" s="5"/>
      <c r="J3" s="5"/>
      <c r="K3" s="5"/>
      <c r="L3" s="5"/>
      <c r="M3" s="5"/>
      <c r="N3" s="5"/>
      <c r="O3" s="5"/>
      <c r="P3" s="5"/>
      <c r="Q3" s="5"/>
      <c r="R3" s="5"/>
      <c r="S3" s="5"/>
      <c r="T3" s="5"/>
      <c r="U3" s="5"/>
      <c r="V3" s="5"/>
      <c r="W3" s="5"/>
      <c r="X3" s="5"/>
      <c r="Y3" s="5"/>
      <c r="Z3" s="5"/>
    </row>
    <row r="4" ht="21.75" customHeight="1">
      <c r="A4" s="37" t="s">
        <v>29</v>
      </c>
      <c r="B4" s="37" t="s">
        <v>30</v>
      </c>
      <c r="C4" s="37" t="s">
        <v>31</v>
      </c>
      <c r="D4" s="37" t="s">
        <v>32</v>
      </c>
      <c r="E4" s="37" t="s">
        <v>33</v>
      </c>
      <c r="F4" s="37" t="s">
        <v>34</v>
      </c>
      <c r="G4" s="37" t="s">
        <v>35</v>
      </c>
      <c r="H4" s="37" t="s">
        <v>36</v>
      </c>
      <c r="I4" s="37" t="s">
        <v>37</v>
      </c>
      <c r="J4" s="5"/>
      <c r="K4" s="5"/>
      <c r="L4" s="5"/>
      <c r="M4" s="5"/>
      <c r="N4" s="5"/>
      <c r="O4" s="5"/>
      <c r="P4" s="5"/>
      <c r="Q4" s="5"/>
      <c r="R4" s="5"/>
      <c r="S4" s="5"/>
      <c r="T4" s="5"/>
      <c r="U4" s="5"/>
      <c r="V4" s="5"/>
      <c r="W4" s="5"/>
      <c r="X4" s="5"/>
      <c r="Y4" s="5"/>
      <c r="Z4" s="5"/>
    </row>
    <row r="5">
      <c r="A5" s="38" t="s">
        <v>1069</v>
      </c>
      <c r="B5" s="39" t="s">
        <v>1070</v>
      </c>
      <c r="C5" s="40" t="s">
        <v>40</v>
      </c>
      <c r="D5" s="41" t="s">
        <v>41</v>
      </c>
      <c r="E5" s="53" t="s">
        <v>1071</v>
      </c>
      <c r="F5" s="39" t="s">
        <v>1072</v>
      </c>
      <c r="G5" s="39" t="s">
        <v>1073</v>
      </c>
      <c r="H5" s="41" t="s">
        <v>45</v>
      </c>
      <c r="I5" s="39"/>
      <c r="J5" s="5"/>
      <c r="K5" s="5"/>
      <c r="L5" s="5"/>
      <c r="M5" s="5"/>
      <c r="N5" s="5"/>
      <c r="O5" s="5"/>
      <c r="P5" s="5"/>
      <c r="Q5" s="5"/>
      <c r="R5" s="5"/>
      <c r="S5" s="5"/>
      <c r="T5" s="5"/>
      <c r="U5" s="5"/>
      <c r="V5" s="5"/>
      <c r="W5" s="5"/>
      <c r="X5" s="5"/>
      <c r="Y5" s="5"/>
      <c r="Z5" s="5"/>
    </row>
    <row r="6">
      <c r="A6" s="42" t="s">
        <v>1074</v>
      </c>
      <c r="B6" s="43" t="s">
        <v>1075</v>
      </c>
      <c r="C6" s="40" t="s">
        <v>40</v>
      </c>
      <c r="D6" s="44" t="s">
        <v>360</v>
      </c>
      <c r="E6" s="52" t="s">
        <v>1076</v>
      </c>
      <c r="F6" s="52" t="s">
        <v>1077</v>
      </c>
      <c r="G6" s="43" t="s">
        <v>1078</v>
      </c>
      <c r="H6" s="44" t="s">
        <v>45</v>
      </c>
      <c r="I6" s="43"/>
      <c r="J6" s="5"/>
      <c r="K6" s="5"/>
      <c r="L6" s="5"/>
      <c r="M6" s="5"/>
      <c r="N6" s="5"/>
      <c r="O6" s="5"/>
      <c r="P6" s="5"/>
      <c r="Q6" s="5"/>
      <c r="R6" s="5"/>
      <c r="S6" s="5"/>
      <c r="T6" s="5"/>
      <c r="U6" s="5"/>
      <c r="V6" s="5"/>
      <c r="W6" s="5"/>
      <c r="X6" s="5"/>
      <c r="Y6" s="5"/>
      <c r="Z6" s="5"/>
    </row>
    <row r="7">
      <c r="A7" s="38" t="s">
        <v>1079</v>
      </c>
      <c r="B7" s="39" t="s">
        <v>1080</v>
      </c>
      <c r="C7" s="40" t="s">
        <v>40</v>
      </c>
      <c r="D7" s="41" t="s">
        <v>41</v>
      </c>
      <c r="E7" s="39" t="s">
        <v>1081</v>
      </c>
      <c r="F7" s="53" t="s">
        <v>1082</v>
      </c>
      <c r="G7" s="53" t="s">
        <v>1083</v>
      </c>
      <c r="H7" s="41" t="s">
        <v>45</v>
      </c>
      <c r="I7" s="39"/>
      <c r="J7" s="5"/>
      <c r="K7" s="5"/>
      <c r="L7" s="5"/>
      <c r="M7" s="5"/>
      <c r="N7" s="5"/>
      <c r="O7" s="5"/>
      <c r="P7" s="5"/>
      <c r="Q7" s="5"/>
      <c r="R7" s="5"/>
      <c r="S7" s="5"/>
      <c r="T7" s="5"/>
      <c r="U7" s="5"/>
      <c r="V7" s="5"/>
      <c r="W7" s="5"/>
      <c r="X7" s="5"/>
      <c r="Y7" s="5"/>
      <c r="Z7" s="5"/>
    </row>
    <row r="8">
      <c r="A8" s="42" t="s">
        <v>1084</v>
      </c>
      <c r="B8" s="43" t="s">
        <v>1085</v>
      </c>
      <c r="C8" s="40" t="s">
        <v>40</v>
      </c>
      <c r="D8" s="44" t="s">
        <v>41</v>
      </c>
      <c r="E8" s="43" t="s">
        <v>1086</v>
      </c>
      <c r="F8" s="52" t="s">
        <v>1087</v>
      </c>
      <c r="G8" s="43" t="s">
        <v>1088</v>
      </c>
      <c r="H8" s="44" t="s">
        <v>45</v>
      </c>
      <c r="I8" s="43"/>
      <c r="J8" s="5"/>
      <c r="K8" s="5"/>
      <c r="L8" s="5"/>
      <c r="M8" s="5"/>
      <c r="N8" s="5"/>
      <c r="O8" s="5"/>
      <c r="P8" s="5"/>
      <c r="Q8" s="5"/>
      <c r="R8" s="5"/>
      <c r="S8" s="5"/>
      <c r="T8" s="5"/>
      <c r="U8" s="5"/>
      <c r="V8" s="5"/>
      <c r="W8" s="5"/>
      <c r="X8" s="5"/>
      <c r="Y8" s="5"/>
      <c r="Z8" s="5"/>
    </row>
    <row r="9">
      <c r="A9" s="42" t="s">
        <v>1089</v>
      </c>
      <c r="B9" s="43" t="s">
        <v>1090</v>
      </c>
      <c r="C9" s="45" t="s">
        <v>53</v>
      </c>
      <c r="D9" s="44" t="s">
        <v>360</v>
      </c>
      <c r="E9" s="43" t="s">
        <v>1091</v>
      </c>
      <c r="F9" s="43" t="s">
        <v>1092</v>
      </c>
      <c r="G9" s="52" t="s">
        <v>1093</v>
      </c>
      <c r="H9" s="44" t="s">
        <v>45</v>
      </c>
      <c r="I9" s="43"/>
      <c r="J9" s="5"/>
      <c r="K9" s="5"/>
      <c r="L9" s="5"/>
      <c r="M9" s="5"/>
      <c r="N9" s="5"/>
      <c r="O9" s="5"/>
      <c r="P9" s="5"/>
      <c r="Q9" s="5"/>
      <c r="R9" s="5"/>
      <c r="S9" s="5"/>
      <c r="T9" s="5"/>
      <c r="U9" s="5"/>
      <c r="V9" s="5"/>
      <c r="W9" s="5"/>
      <c r="X9" s="5"/>
      <c r="Y9" s="5"/>
      <c r="Z9" s="5"/>
    </row>
    <row r="10">
      <c r="A10" s="42" t="s">
        <v>1094</v>
      </c>
      <c r="B10" s="43" t="s">
        <v>1095</v>
      </c>
      <c r="C10" s="40" t="s">
        <v>40</v>
      </c>
      <c r="D10" s="44" t="s">
        <v>41</v>
      </c>
      <c r="E10" s="43" t="s">
        <v>1096</v>
      </c>
      <c r="F10" s="43" t="s">
        <v>1097</v>
      </c>
      <c r="G10" s="52" t="s">
        <v>1098</v>
      </c>
      <c r="H10" s="44" t="s">
        <v>45</v>
      </c>
      <c r="I10" s="43"/>
      <c r="J10" s="5"/>
      <c r="K10" s="5"/>
      <c r="L10" s="5"/>
      <c r="M10" s="5"/>
      <c r="N10" s="5"/>
      <c r="O10" s="5"/>
      <c r="P10" s="5"/>
      <c r="Q10" s="5"/>
      <c r="R10" s="5"/>
      <c r="S10" s="5"/>
      <c r="T10" s="5"/>
      <c r="U10" s="5"/>
      <c r="V10" s="5"/>
      <c r="W10" s="5"/>
      <c r="X10" s="5"/>
      <c r="Y10" s="5"/>
      <c r="Z10" s="5"/>
    </row>
    <row r="11">
      <c r="A11" s="42" t="s">
        <v>1099</v>
      </c>
      <c r="B11" s="39" t="s">
        <v>1100</v>
      </c>
      <c r="C11" s="40" t="s">
        <v>40</v>
      </c>
      <c r="D11" s="41" t="s">
        <v>41</v>
      </c>
      <c r="E11" s="53" t="s">
        <v>1101</v>
      </c>
      <c r="F11" s="53" t="s">
        <v>1102</v>
      </c>
      <c r="G11" s="53" t="s">
        <v>1103</v>
      </c>
      <c r="H11" s="41" t="s">
        <v>45</v>
      </c>
      <c r="I11" s="39" t="s">
        <v>1104</v>
      </c>
      <c r="J11" s="5"/>
      <c r="K11" s="5"/>
      <c r="L11" s="5"/>
      <c r="M11" s="5"/>
      <c r="N11" s="5"/>
      <c r="O11" s="5"/>
      <c r="P11" s="5"/>
      <c r="Q11" s="5"/>
      <c r="R11" s="5"/>
      <c r="S11" s="5"/>
      <c r="T11" s="5"/>
      <c r="U11" s="5"/>
      <c r="V11" s="5"/>
      <c r="W11" s="5"/>
      <c r="X11" s="5"/>
      <c r="Y11" s="5"/>
      <c r="Z11" s="5"/>
    </row>
    <row r="12">
      <c r="A12" s="42" t="s">
        <v>1105</v>
      </c>
      <c r="B12" s="39" t="s">
        <v>1106</v>
      </c>
      <c r="C12" s="45" t="s">
        <v>53</v>
      </c>
      <c r="D12" s="41" t="s">
        <v>41</v>
      </c>
      <c r="E12" s="39" t="s">
        <v>1107</v>
      </c>
      <c r="F12" s="39" t="s">
        <v>1108</v>
      </c>
      <c r="G12" s="39" t="s">
        <v>1109</v>
      </c>
      <c r="H12" s="41" t="s">
        <v>45</v>
      </c>
      <c r="I12" s="39"/>
      <c r="J12" s="5"/>
      <c r="K12" s="5"/>
      <c r="L12" s="5"/>
      <c r="M12" s="5"/>
      <c r="N12" s="5"/>
      <c r="O12" s="5"/>
      <c r="P12" s="5"/>
      <c r="Q12" s="5"/>
      <c r="R12" s="5"/>
      <c r="S12" s="5"/>
      <c r="T12" s="5"/>
      <c r="U12" s="5"/>
      <c r="V12" s="5"/>
      <c r="W12" s="5"/>
      <c r="X12" s="5"/>
      <c r="Y12" s="5"/>
      <c r="Z12" s="5"/>
    </row>
    <row r="13">
      <c r="A13" s="42" t="s">
        <v>1110</v>
      </c>
      <c r="B13" s="39" t="s">
        <v>1111</v>
      </c>
      <c r="C13" s="45" t="s">
        <v>53</v>
      </c>
      <c r="D13" s="41" t="s">
        <v>41</v>
      </c>
      <c r="E13" s="39" t="s">
        <v>1112</v>
      </c>
      <c r="F13" s="39" t="s">
        <v>1113</v>
      </c>
      <c r="G13" s="39" t="s">
        <v>1114</v>
      </c>
      <c r="H13" s="41" t="s">
        <v>45</v>
      </c>
      <c r="I13" s="39"/>
      <c r="J13" s="5"/>
      <c r="K13" s="5"/>
      <c r="L13" s="5"/>
      <c r="M13" s="5"/>
      <c r="N13" s="5"/>
      <c r="O13" s="5"/>
      <c r="P13" s="5"/>
      <c r="Q13" s="5"/>
      <c r="R13" s="5"/>
      <c r="S13" s="5"/>
      <c r="T13" s="5"/>
      <c r="U13" s="5"/>
      <c r="V13" s="5"/>
      <c r="W13" s="5"/>
      <c r="X13" s="5"/>
      <c r="Y13" s="5"/>
      <c r="Z13" s="5"/>
    </row>
    <row r="14">
      <c r="A14" s="42" t="s">
        <v>1115</v>
      </c>
      <c r="B14" s="43" t="s">
        <v>1116</v>
      </c>
      <c r="C14" s="45" t="s">
        <v>53</v>
      </c>
      <c r="D14" s="44" t="s">
        <v>41</v>
      </c>
      <c r="E14" s="43" t="s">
        <v>1117</v>
      </c>
      <c r="F14" s="43" t="s">
        <v>1118</v>
      </c>
      <c r="G14" s="52" t="s">
        <v>1119</v>
      </c>
      <c r="H14" s="44" t="s">
        <v>45</v>
      </c>
      <c r="I14" s="43"/>
      <c r="J14" s="5"/>
      <c r="K14" s="5"/>
      <c r="L14" s="5"/>
      <c r="M14" s="5"/>
      <c r="N14" s="5"/>
      <c r="O14" s="5"/>
      <c r="P14" s="5"/>
      <c r="Q14" s="5"/>
      <c r="R14" s="5"/>
      <c r="S14" s="5"/>
      <c r="T14" s="5"/>
      <c r="U14" s="5"/>
      <c r="V14" s="5"/>
      <c r="W14" s="5"/>
      <c r="X14" s="5"/>
      <c r="Y14" s="5"/>
      <c r="Z14" s="5"/>
    </row>
    <row r="15">
      <c r="A15" s="42" t="s">
        <v>1120</v>
      </c>
      <c r="B15" s="43" t="s">
        <v>1121</v>
      </c>
      <c r="C15" s="40" t="s">
        <v>40</v>
      </c>
      <c r="D15" s="44" t="s">
        <v>41</v>
      </c>
      <c r="E15" s="43" t="s">
        <v>1086</v>
      </c>
      <c r="F15" s="43" t="s">
        <v>1122</v>
      </c>
      <c r="G15" s="43" t="s">
        <v>1123</v>
      </c>
      <c r="H15" s="44" t="s">
        <v>45</v>
      </c>
      <c r="I15" s="43" t="s">
        <v>1124</v>
      </c>
      <c r="J15" s="5"/>
      <c r="K15" s="5"/>
      <c r="L15" s="5"/>
      <c r="M15" s="5"/>
      <c r="N15" s="5"/>
      <c r="O15" s="5"/>
      <c r="P15" s="5"/>
      <c r="Q15" s="5"/>
      <c r="R15" s="5"/>
      <c r="S15" s="5"/>
      <c r="T15" s="5"/>
      <c r="U15" s="5"/>
      <c r="V15" s="5"/>
      <c r="W15" s="5"/>
      <c r="X15" s="5"/>
      <c r="Y15" s="5"/>
      <c r="Z15" s="5"/>
    </row>
    <row r="16" ht="15.75" customHeight="1">
      <c r="A16" s="42" t="s">
        <v>1125</v>
      </c>
      <c r="B16" s="50" t="s">
        <v>1126</v>
      </c>
      <c r="C16" s="45" t="s">
        <v>53</v>
      </c>
      <c r="D16" s="41" t="s">
        <v>41</v>
      </c>
      <c r="E16" s="39" t="s">
        <v>1127</v>
      </c>
      <c r="F16" s="50" t="s">
        <v>1128</v>
      </c>
      <c r="G16" s="50" t="s">
        <v>1129</v>
      </c>
      <c r="H16" s="41" t="s">
        <v>45</v>
      </c>
      <c r="I16" s="50" t="s">
        <v>1130</v>
      </c>
      <c r="J16" s="5"/>
      <c r="K16" s="5"/>
      <c r="L16" s="5"/>
      <c r="M16" s="5"/>
      <c r="N16" s="5"/>
      <c r="O16" s="5"/>
      <c r="P16" s="5"/>
      <c r="Q16" s="5"/>
      <c r="R16" s="5"/>
      <c r="S16" s="5"/>
      <c r="T16" s="5"/>
      <c r="U16" s="5"/>
      <c r="V16" s="5"/>
      <c r="W16" s="5"/>
      <c r="X16" s="5"/>
      <c r="Y16" s="5"/>
      <c r="Z16" s="5"/>
    </row>
    <row r="17" ht="15.75" customHeight="1">
      <c r="A17" s="42" t="s">
        <v>1131</v>
      </c>
      <c r="B17" s="43" t="s">
        <v>1132</v>
      </c>
      <c r="C17" s="45" t="s">
        <v>53</v>
      </c>
      <c r="D17" s="44" t="s">
        <v>41</v>
      </c>
      <c r="E17" s="43" t="s">
        <v>1133</v>
      </c>
      <c r="F17" s="43" t="s">
        <v>1134</v>
      </c>
      <c r="G17" s="43" t="s">
        <v>1135</v>
      </c>
      <c r="H17" s="44" t="s">
        <v>45</v>
      </c>
      <c r="I17" s="43"/>
      <c r="J17" s="5"/>
      <c r="K17" s="5"/>
      <c r="L17" s="5"/>
      <c r="M17" s="5"/>
      <c r="N17" s="5"/>
      <c r="O17" s="5"/>
      <c r="P17" s="5"/>
      <c r="Q17" s="5"/>
      <c r="R17" s="5"/>
      <c r="S17" s="5"/>
      <c r="T17" s="5"/>
      <c r="U17" s="5"/>
      <c r="V17" s="5"/>
      <c r="W17" s="5"/>
      <c r="X17" s="5"/>
      <c r="Y17" s="5"/>
      <c r="Z17" s="5"/>
    </row>
    <row r="18" ht="15.75" customHeight="1">
      <c r="A18" s="42" t="s">
        <v>1136</v>
      </c>
      <c r="B18" s="39" t="s">
        <v>1137</v>
      </c>
      <c r="C18" s="40" t="s">
        <v>40</v>
      </c>
      <c r="D18" s="41" t="s">
        <v>41</v>
      </c>
      <c r="E18" s="39" t="s">
        <v>1138</v>
      </c>
      <c r="F18" s="39" t="s">
        <v>1139</v>
      </c>
      <c r="G18" s="39" t="s">
        <v>1140</v>
      </c>
      <c r="H18" s="41" t="s">
        <v>45</v>
      </c>
      <c r="I18" s="39"/>
      <c r="J18" s="5"/>
      <c r="K18" s="5"/>
      <c r="L18" s="5"/>
      <c r="M18" s="5"/>
      <c r="N18" s="5"/>
      <c r="O18" s="5"/>
      <c r="P18" s="5"/>
      <c r="Q18" s="5"/>
      <c r="R18" s="5"/>
      <c r="S18" s="5"/>
      <c r="T18" s="5"/>
      <c r="U18" s="5"/>
      <c r="V18" s="5"/>
      <c r="W18" s="5"/>
      <c r="X18" s="5"/>
      <c r="Y18" s="5"/>
      <c r="Z18" s="5"/>
    </row>
    <row r="19" ht="15.75" customHeight="1">
      <c r="A19" s="42" t="s">
        <v>1141</v>
      </c>
      <c r="B19" s="43" t="s">
        <v>1142</v>
      </c>
      <c r="C19" s="40" t="s">
        <v>40</v>
      </c>
      <c r="D19" s="44" t="s">
        <v>41</v>
      </c>
      <c r="E19" s="43" t="s">
        <v>1143</v>
      </c>
      <c r="F19" s="43" t="s">
        <v>1144</v>
      </c>
      <c r="G19" s="43" t="s">
        <v>1145</v>
      </c>
      <c r="H19" s="44" t="s">
        <v>45</v>
      </c>
      <c r="I19" s="43" t="s">
        <v>1146</v>
      </c>
      <c r="J19" s="5"/>
      <c r="K19" s="5"/>
      <c r="L19" s="5"/>
      <c r="M19" s="5"/>
      <c r="N19" s="5"/>
      <c r="O19" s="5"/>
      <c r="P19" s="5"/>
      <c r="Q19" s="5"/>
      <c r="R19" s="5"/>
      <c r="S19" s="5"/>
      <c r="T19" s="5"/>
      <c r="U19" s="5"/>
      <c r="V19" s="5"/>
      <c r="W19" s="5"/>
      <c r="X19" s="5"/>
      <c r="Y19" s="5"/>
      <c r="Z19" s="5"/>
    </row>
    <row r="20" ht="15.75" customHeight="1">
      <c r="A20" s="42" t="s">
        <v>1147</v>
      </c>
      <c r="B20" s="39" t="s">
        <v>1148</v>
      </c>
      <c r="C20" s="45" t="s">
        <v>53</v>
      </c>
      <c r="D20" s="41" t="s">
        <v>41</v>
      </c>
      <c r="E20" s="39" t="s">
        <v>1149</v>
      </c>
      <c r="F20" s="39" t="s">
        <v>1150</v>
      </c>
      <c r="G20" s="39" t="s">
        <v>1151</v>
      </c>
      <c r="H20" s="41" t="s">
        <v>45</v>
      </c>
      <c r="I20" s="39" t="s">
        <v>1152</v>
      </c>
      <c r="J20" s="5"/>
      <c r="K20" s="5"/>
      <c r="L20" s="5"/>
      <c r="M20" s="5"/>
      <c r="N20" s="5"/>
      <c r="O20" s="5"/>
      <c r="P20" s="5"/>
      <c r="Q20" s="5"/>
      <c r="R20" s="5"/>
      <c r="S20" s="5"/>
      <c r="T20" s="5"/>
      <c r="U20" s="5"/>
      <c r="V20" s="5"/>
      <c r="W20" s="5"/>
      <c r="X20" s="5"/>
      <c r="Y20" s="5"/>
      <c r="Z20" s="5"/>
    </row>
    <row r="21" ht="15.75" customHeight="1">
      <c r="A21" s="42" t="s">
        <v>1153</v>
      </c>
      <c r="B21" s="43" t="s">
        <v>1154</v>
      </c>
      <c r="C21" s="40" t="s">
        <v>40</v>
      </c>
      <c r="D21" s="44" t="s">
        <v>41</v>
      </c>
      <c r="E21" s="43" t="s">
        <v>1155</v>
      </c>
      <c r="F21" s="43" t="s">
        <v>1156</v>
      </c>
      <c r="G21" s="52" t="s">
        <v>1157</v>
      </c>
      <c r="H21" s="44" t="s">
        <v>45</v>
      </c>
      <c r="I21" s="43" t="s">
        <v>684</v>
      </c>
      <c r="J21" s="5"/>
      <c r="K21" s="5"/>
      <c r="L21" s="5"/>
      <c r="M21" s="5"/>
      <c r="N21" s="5"/>
      <c r="O21" s="5"/>
      <c r="P21" s="5"/>
      <c r="Q21" s="5"/>
      <c r="R21" s="5"/>
      <c r="S21" s="5"/>
      <c r="T21" s="5"/>
      <c r="U21" s="5"/>
      <c r="V21" s="5"/>
      <c r="W21" s="5"/>
      <c r="X21" s="5"/>
      <c r="Y21" s="5"/>
      <c r="Z21" s="5"/>
    </row>
    <row r="22" ht="15.75" customHeight="1">
      <c r="A22" s="42" t="s">
        <v>1158</v>
      </c>
      <c r="B22" s="39" t="s">
        <v>1159</v>
      </c>
      <c r="C22" s="40" t="s">
        <v>40</v>
      </c>
      <c r="D22" s="41" t="s">
        <v>41</v>
      </c>
      <c r="E22" s="39" t="s">
        <v>1160</v>
      </c>
      <c r="F22" s="39" t="s">
        <v>1161</v>
      </c>
      <c r="G22" s="39" t="s">
        <v>1162</v>
      </c>
      <c r="H22" s="41" t="s">
        <v>45</v>
      </c>
      <c r="I22" s="39" t="s">
        <v>690</v>
      </c>
      <c r="J22" s="5"/>
      <c r="K22" s="5"/>
      <c r="L22" s="5"/>
      <c r="M22" s="5"/>
      <c r="N22" s="5"/>
      <c r="O22" s="5"/>
      <c r="P22" s="5"/>
      <c r="Q22" s="5"/>
      <c r="R22" s="5"/>
      <c r="S22" s="5"/>
      <c r="T22" s="5"/>
      <c r="U22" s="5"/>
      <c r="V22" s="5"/>
      <c r="W22" s="5"/>
      <c r="X22" s="5"/>
      <c r="Y22" s="5"/>
      <c r="Z22" s="5"/>
    </row>
    <row r="23" ht="15.75" customHeight="1">
      <c r="A23" s="42" t="s">
        <v>1163</v>
      </c>
      <c r="B23" s="43" t="s">
        <v>1164</v>
      </c>
      <c r="C23" s="40" t="s">
        <v>40</v>
      </c>
      <c r="D23" s="44" t="s">
        <v>41</v>
      </c>
      <c r="E23" s="43" t="s">
        <v>1165</v>
      </c>
      <c r="F23" s="43" t="s">
        <v>1166</v>
      </c>
      <c r="G23" s="52" t="s">
        <v>1167</v>
      </c>
      <c r="H23" s="44" t="s">
        <v>45</v>
      </c>
      <c r="I23" s="43"/>
      <c r="J23" s="5"/>
      <c r="K23" s="5"/>
      <c r="L23" s="5"/>
      <c r="M23" s="5"/>
      <c r="N23" s="5"/>
      <c r="O23" s="5"/>
      <c r="P23" s="5"/>
      <c r="Q23" s="5"/>
      <c r="R23" s="5"/>
      <c r="S23" s="5"/>
      <c r="T23" s="5"/>
      <c r="U23" s="5"/>
      <c r="V23" s="5"/>
      <c r="W23" s="5"/>
      <c r="X23" s="5"/>
      <c r="Y23" s="5"/>
      <c r="Z23" s="5"/>
    </row>
    <row r="24" ht="15.75" customHeight="1">
      <c r="A24" s="42" t="s">
        <v>1168</v>
      </c>
      <c r="B24" s="39" t="s">
        <v>1169</v>
      </c>
      <c r="C24" s="40" t="s">
        <v>40</v>
      </c>
      <c r="D24" s="41" t="s">
        <v>41</v>
      </c>
      <c r="E24" s="39" t="s">
        <v>1170</v>
      </c>
      <c r="F24" s="39" t="s">
        <v>1171</v>
      </c>
      <c r="G24" s="53" t="s">
        <v>1172</v>
      </c>
      <c r="H24" s="41" t="s">
        <v>45</v>
      </c>
      <c r="I24" s="39"/>
      <c r="J24" s="5"/>
      <c r="K24" s="5"/>
      <c r="L24" s="5"/>
      <c r="M24" s="5"/>
      <c r="N24" s="5"/>
      <c r="O24" s="5"/>
      <c r="P24" s="5"/>
      <c r="Q24" s="5"/>
      <c r="R24" s="5"/>
      <c r="S24" s="5"/>
      <c r="T24" s="5"/>
      <c r="U24" s="5"/>
      <c r="V24" s="5"/>
      <c r="W24" s="5"/>
      <c r="X24" s="5"/>
      <c r="Y24" s="5"/>
      <c r="Z24" s="5"/>
    </row>
    <row r="25" ht="15.75" customHeight="1">
      <c r="A25" s="42" t="s">
        <v>1173</v>
      </c>
      <c r="B25" s="43" t="s">
        <v>1174</v>
      </c>
      <c r="C25" s="40" t="s">
        <v>40</v>
      </c>
      <c r="D25" s="44" t="s">
        <v>41</v>
      </c>
      <c r="E25" s="43" t="s">
        <v>1175</v>
      </c>
      <c r="F25" s="43" t="s">
        <v>1176</v>
      </c>
      <c r="G25" s="52" t="s">
        <v>1177</v>
      </c>
      <c r="H25" s="44" t="s">
        <v>45</v>
      </c>
      <c r="I25" s="43"/>
      <c r="J25" s="5"/>
      <c r="K25" s="5"/>
      <c r="L25" s="5"/>
      <c r="M25" s="5"/>
      <c r="N25" s="5"/>
      <c r="O25" s="5"/>
      <c r="P25" s="5"/>
      <c r="Q25" s="5"/>
      <c r="R25" s="5"/>
      <c r="S25" s="5"/>
      <c r="T25" s="5"/>
      <c r="U25" s="5"/>
      <c r="V25" s="5"/>
      <c r="W25" s="5"/>
      <c r="X25" s="5"/>
      <c r="Y25" s="5"/>
      <c r="Z25" s="5"/>
    </row>
    <row r="26" ht="15.75" customHeight="1">
      <c r="A26" s="42" t="s">
        <v>1178</v>
      </c>
      <c r="B26" s="39" t="s">
        <v>1179</v>
      </c>
      <c r="C26" s="40" t="s">
        <v>40</v>
      </c>
      <c r="D26" s="41" t="s">
        <v>41</v>
      </c>
      <c r="E26" s="39" t="s">
        <v>1180</v>
      </c>
      <c r="F26" s="39" t="s">
        <v>1181</v>
      </c>
      <c r="G26" s="39" t="s">
        <v>1182</v>
      </c>
      <c r="H26" s="41" t="s">
        <v>45</v>
      </c>
      <c r="I26" s="39"/>
      <c r="J26" s="5"/>
      <c r="K26" s="5"/>
      <c r="L26" s="5"/>
      <c r="M26" s="5"/>
      <c r="N26" s="5"/>
      <c r="O26" s="5"/>
      <c r="P26" s="5"/>
      <c r="Q26" s="5"/>
      <c r="R26" s="5"/>
      <c r="S26" s="5"/>
      <c r="T26" s="5"/>
      <c r="U26" s="5"/>
      <c r="V26" s="5"/>
      <c r="W26" s="5"/>
      <c r="X26" s="5"/>
      <c r="Y26" s="5"/>
      <c r="Z26" s="5"/>
    </row>
    <row r="27" ht="15.75" customHeight="1">
      <c r="A27" s="42" t="s">
        <v>1183</v>
      </c>
      <c r="B27" s="43" t="s">
        <v>1184</v>
      </c>
      <c r="C27" s="40" t="s">
        <v>40</v>
      </c>
      <c r="D27" s="44" t="s">
        <v>41</v>
      </c>
      <c r="E27" s="43" t="s">
        <v>1185</v>
      </c>
      <c r="F27" s="43" t="s">
        <v>1186</v>
      </c>
      <c r="G27" s="43" t="s">
        <v>1187</v>
      </c>
      <c r="H27" s="44" t="s">
        <v>45</v>
      </c>
      <c r="I27" s="43"/>
      <c r="J27" s="5"/>
      <c r="K27" s="5"/>
      <c r="L27" s="5"/>
      <c r="M27" s="5"/>
      <c r="N27" s="5"/>
      <c r="O27" s="5"/>
      <c r="P27" s="5"/>
      <c r="Q27" s="5"/>
      <c r="R27" s="5"/>
      <c r="S27" s="5"/>
      <c r="T27" s="5"/>
      <c r="U27" s="5"/>
      <c r="V27" s="5"/>
      <c r="W27" s="5"/>
      <c r="X27" s="5"/>
      <c r="Y27" s="5"/>
      <c r="Z27" s="5"/>
    </row>
    <row r="28" ht="15.75" customHeight="1">
      <c r="A28" s="42" t="s">
        <v>1188</v>
      </c>
      <c r="B28" s="39" t="s">
        <v>1189</v>
      </c>
      <c r="C28" s="40" t="s">
        <v>40</v>
      </c>
      <c r="D28" s="41" t="s">
        <v>41</v>
      </c>
      <c r="E28" s="39" t="s">
        <v>1190</v>
      </c>
      <c r="F28" s="39" t="s">
        <v>1191</v>
      </c>
      <c r="G28" s="39" t="s">
        <v>1002</v>
      </c>
      <c r="H28" s="41" t="s">
        <v>45</v>
      </c>
      <c r="I28" s="39"/>
      <c r="J28" s="5"/>
      <c r="K28" s="5"/>
      <c r="L28" s="5"/>
      <c r="M28" s="5"/>
      <c r="N28" s="5"/>
      <c r="O28" s="5"/>
      <c r="P28" s="5"/>
      <c r="Q28" s="5"/>
      <c r="R28" s="5"/>
      <c r="S28" s="5"/>
      <c r="T28" s="5"/>
      <c r="U28" s="5"/>
      <c r="V28" s="5"/>
      <c r="W28" s="5"/>
      <c r="X28" s="5"/>
      <c r="Y28" s="5"/>
      <c r="Z28" s="5"/>
    </row>
    <row r="29" ht="15.75" customHeight="1">
      <c r="A29" s="42" t="s">
        <v>1192</v>
      </c>
      <c r="B29" s="43" t="s">
        <v>1193</v>
      </c>
      <c r="C29" s="40" t="s">
        <v>40</v>
      </c>
      <c r="D29" s="44" t="s">
        <v>41</v>
      </c>
      <c r="E29" s="43" t="s">
        <v>1194</v>
      </c>
      <c r="F29" s="43" t="s">
        <v>1195</v>
      </c>
      <c r="G29" s="43" t="s">
        <v>1196</v>
      </c>
      <c r="H29" s="44" t="s">
        <v>45</v>
      </c>
      <c r="I29" s="43"/>
      <c r="J29" s="5"/>
      <c r="K29" s="5"/>
      <c r="L29" s="5"/>
      <c r="M29" s="5"/>
      <c r="N29" s="5"/>
      <c r="O29" s="5"/>
      <c r="P29" s="5"/>
      <c r="Q29" s="5"/>
      <c r="R29" s="5"/>
      <c r="S29" s="5"/>
      <c r="T29" s="5"/>
      <c r="U29" s="5"/>
      <c r="V29" s="5"/>
      <c r="W29" s="5"/>
      <c r="X29" s="5"/>
      <c r="Y29" s="5"/>
      <c r="Z29" s="5"/>
    </row>
    <row r="30" ht="15.75" customHeight="1">
      <c r="A30" s="42" t="s">
        <v>1197</v>
      </c>
      <c r="B30" s="39" t="s">
        <v>1198</v>
      </c>
      <c r="C30" s="45" t="s">
        <v>53</v>
      </c>
      <c r="D30" s="41" t="s">
        <v>41</v>
      </c>
      <c r="E30" s="39" t="s">
        <v>1199</v>
      </c>
      <c r="F30" s="39" t="s">
        <v>1200</v>
      </c>
      <c r="G30" s="39" t="s">
        <v>1201</v>
      </c>
      <c r="H30" s="41" t="s">
        <v>45</v>
      </c>
      <c r="I30" s="39"/>
      <c r="J30" s="5"/>
      <c r="K30" s="5"/>
      <c r="L30" s="5"/>
      <c r="M30" s="5"/>
      <c r="N30" s="5"/>
      <c r="O30" s="5"/>
      <c r="P30" s="5"/>
      <c r="Q30" s="5"/>
      <c r="R30" s="5"/>
      <c r="S30" s="5"/>
      <c r="T30" s="5"/>
      <c r="U30" s="5"/>
      <c r="V30" s="5"/>
      <c r="W30" s="5"/>
      <c r="X30" s="5"/>
      <c r="Y30" s="5"/>
      <c r="Z30" s="5"/>
    </row>
    <row r="31" ht="15.75" customHeight="1">
      <c r="A31" s="42" t="s">
        <v>1202</v>
      </c>
      <c r="B31" s="43" t="s">
        <v>1203</v>
      </c>
      <c r="C31" s="45" t="s">
        <v>53</v>
      </c>
      <c r="D31" s="44" t="s">
        <v>41</v>
      </c>
      <c r="E31" s="43" t="s">
        <v>1204</v>
      </c>
      <c r="F31" s="43" t="s">
        <v>1205</v>
      </c>
      <c r="G31" s="43" t="s">
        <v>1206</v>
      </c>
      <c r="H31" s="44" t="s">
        <v>45</v>
      </c>
      <c r="I31" s="43"/>
      <c r="J31" s="5"/>
      <c r="K31" s="5"/>
      <c r="L31" s="5"/>
      <c r="M31" s="5"/>
      <c r="N31" s="5"/>
      <c r="O31" s="5"/>
      <c r="P31" s="5"/>
      <c r="Q31" s="5"/>
      <c r="R31" s="5"/>
      <c r="S31" s="5"/>
      <c r="T31" s="5"/>
      <c r="U31" s="5"/>
      <c r="V31" s="5"/>
      <c r="W31" s="5"/>
      <c r="X31" s="5"/>
      <c r="Y31" s="5"/>
      <c r="Z31" s="5"/>
    </row>
    <row r="32" ht="15.75" customHeight="1">
      <c r="A32" s="42" t="s">
        <v>1207</v>
      </c>
      <c r="B32" s="39" t="s">
        <v>1208</v>
      </c>
      <c r="C32" s="40" t="s">
        <v>40</v>
      </c>
      <c r="D32" s="41" t="s">
        <v>41</v>
      </c>
      <c r="E32" s="39" t="s">
        <v>1209</v>
      </c>
      <c r="F32" s="39" t="s">
        <v>1210</v>
      </c>
      <c r="G32" s="39" t="s">
        <v>1211</v>
      </c>
      <c r="H32" s="41" t="s">
        <v>45</v>
      </c>
      <c r="I32" s="39"/>
      <c r="J32" s="5"/>
      <c r="K32" s="5"/>
      <c r="L32" s="5"/>
      <c r="M32" s="5"/>
      <c r="N32" s="5"/>
      <c r="O32" s="5"/>
      <c r="P32" s="5"/>
      <c r="Q32" s="5"/>
      <c r="R32" s="5"/>
      <c r="S32" s="5"/>
      <c r="T32" s="5"/>
      <c r="U32" s="5"/>
      <c r="V32" s="5"/>
      <c r="W32" s="5"/>
      <c r="X32" s="5"/>
      <c r="Y32" s="5"/>
      <c r="Z32" s="5"/>
    </row>
    <row r="33" ht="15.75" customHeight="1">
      <c r="A33" s="42" t="s">
        <v>1212</v>
      </c>
      <c r="B33" s="43" t="s">
        <v>1213</v>
      </c>
      <c r="C33" s="40" t="s">
        <v>40</v>
      </c>
      <c r="D33" s="44" t="s">
        <v>41</v>
      </c>
      <c r="E33" s="43" t="s">
        <v>1214</v>
      </c>
      <c r="F33" s="43" t="s">
        <v>1215</v>
      </c>
      <c r="G33" s="43" t="s">
        <v>1216</v>
      </c>
      <c r="H33" s="44" t="s">
        <v>45</v>
      </c>
      <c r="I33" s="43"/>
      <c r="J33" s="5"/>
      <c r="K33" s="5"/>
      <c r="L33" s="5"/>
      <c r="M33" s="5"/>
      <c r="N33" s="5"/>
      <c r="O33" s="5"/>
      <c r="P33" s="5"/>
      <c r="Q33" s="5"/>
      <c r="R33" s="5"/>
      <c r="S33" s="5"/>
      <c r="T33" s="5"/>
      <c r="U33" s="5"/>
      <c r="V33" s="5"/>
      <c r="W33" s="5"/>
      <c r="X33" s="5"/>
      <c r="Y33" s="5"/>
      <c r="Z33" s="5"/>
    </row>
    <row r="34" ht="15.75" customHeight="1">
      <c r="A34" s="42" t="s">
        <v>1217</v>
      </c>
      <c r="B34" s="39" t="s">
        <v>1218</v>
      </c>
      <c r="C34" s="45" t="s">
        <v>53</v>
      </c>
      <c r="D34" s="41" t="s">
        <v>41</v>
      </c>
      <c r="E34" s="39" t="s">
        <v>1219</v>
      </c>
      <c r="F34" s="39" t="s">
        <v>1220</v>
      </c>
      <c r="G34" s="39" t="s">
        <v>1221</v>
      </c>
      <c r="H34" s="41" t="s">
        <v>45</v>
      </c>
      <c r="I34" s="39"/>
      <c r="J34" s="5"/>
      <c r="K34" s="5"/>
      <c r="L34" s="5"/>
      <c r="M34" s="5"/>
      <c r="N34" s="5"/>
      <c r="O34" s="5"/>
      <c r="P34" s="5"/>
      <c r="Q34" s="5"/>
      <c r="R34" s="5"/>
      <c r="S34" s="5"/>
      <c r="T34" s="5"/>
      <c r="U34" s="5"/>
      <c r="V34" s="5"/>
      <c r="W34" s="5"/>
      <c r="X34" s="5"/>
      <c r="Y34" s="5"/>
      <c r="Z34" s="5"/>
    </row>
    <row r="35" ht="15.75" customHeight="1">
      <c r="A35" s="42" t="s">
        <v>1222</v>
      </c>
      <c r="B35" s="43" t="s">
        <v>1223</v>
      </c>
      <c r="C35" s="45" t="s">
        <v>53</v>
      </c>
      <c r="D35" s="44" t="s">
        <v>41</v>
      </c>
      <c r="E35" s="43" t="s">
        <v>1224</v>
      </c>
      <c r="F35" s="43" t="s">
        <v>1225</v>
      </c>
      <c r="G35" s="43" t="s">
        <v>1226</v>
      </c>
      <c r="H35" s="44" t="s">
        <v>45</v>
      </c>
      <c r="I35" s="43"/>
      <c r="J35" s="5"/>
      <c r="K35" s="5"/>
      <c r="L35" s="5"/>
      <c r="M35" s="5"/>
      <c r="N35" s="5"/>
      <c r="O35" s="5"/>
      <c r="P35" s="5"/>
      <c r="Q35" s="5"/>
      <c r="R35" s="5"/>
      <c r="S35" s="5"/>
      <c r="T35" s="5"/>
      <c r="U35" s="5"/>
      <c r="V35" s="5"/>
      <c r="W35" s="5"/>
      <c r="X35" s="5"/>
      <c r="Y35" s="5"/>
      <c r="Z35" s="5"/>
    </row>
    <row r="36" ht="15.75" customHeight="1">
      <c r="A36" s="42" t="s">
        <v>1227</v>
      </c>
      <c r="B36" s="39" t="s">
        <v>1228</v>
      </c>
      <c r="C36" s="40" t="s">
        <v>40</v>
      </c>
      <c r="D36" s="41" t="s">
        <v>41</v>
      </c>
      <c r="E36" s="39" t="s">
        <v>1229</v>
      </c>
      <c r="F36" s="39" t="s">
        <v>1230</v>
      </c>
      <c r="G36" s="39" t="s">
        <v>992</v>
      </c>
      <c r="H36" s="41" t="s">
        <v>45</v>
      </c>
      <c r="I36" s="39"/>
      <c r="J36" s="5"/>
      <c r="K36" s="5"/>
      <c r="L36" s="5"/>
      <c r="M36" s="5"/>
      <c r="N36" s="5"/>
      <c r="O36" s="5"/>
      <c r="P36" s="5"/>
      <c r="Q36" s="5"/>
      <c r="R36" s="5"/>
      <c r="S36" s="5"/>
      <c r="T36" s="5"/>
      <c r="U36" s="5"/>
      <c r="V36" s="5"/>
      <c r="W36" s="5"/>
      <c r="X36" s="5"/>
      <c r="Y36" s="5"/>
      <c r="Z36" s="5"/>
    </row>
    <row r="37" ht="15.75" customHeight="1">
      <c r="A37" s="42" t="s">
        <v>1231</v>
      </c>
      <c r="B37" s="43" t="s">
        <v>1232</v>
      </c>
      <c r="C37" s="45" t="s">
        <v>53</v>
      </c>
      <c r="D37" s="44" t="s">
        <v>41</v>
      </c>
      <c r="E37" s="43" t="s">
        <v>1233</v>
      </c>
      <c r="F37" s="43" t="s">
        <v>1234</v>
      </c>
      <c r="G37" s="43" t="s">
        <v>1235</v>
      </c>
      <c r="H37" s="44" t="s">
        <v>45</v>
      </c>
      <c r="I37" s="43"/>
      <c r="J37" s="5"/>
      <c r="K37" s="5"/>
      <c r="L37" s="5"/>
      <c r="M37" s="5"/>
      <c r="N37" s="5"/>
      <c r="O37" s="5"/>
      <c r="P37" s="5"/>
      <c r="Q37" s="5"/>
      <c r="R37" s="5"/>
      <c r="S37" s="5"/>
      <c r="T37" s="5"/>
      <c r="U37" s="5"/>
      <c r="V37" s="5"/>
      <c r="W37" s="5"/>
      <c r="X37" s="5"/>
      <c r="Y37" s="5"/>
      <c r="Z37" s="5"/>
    </row>
    <row r="38" ht="15.75" customHeight="1">
      <c r="A38" s="42" t="s">
        <v>1236</v>
      </c>
      <c r="B38" s="39" t="s">
        <v>1237</v>
      </c>
      <c r="C38" s="40" t="s">
        <v>40</v>
      </c>
      <c r="D38" s="41" t="s">
        <v>41</v>
      </c>
      <c r="E38" s="39" t="s">
        <v>1238</v>
      </c>
      <c r="F38" s="39" t="s">
        <v>1239</v>
      </c>
      <c r="G38" s="39" t="s">
        <v>992</v>
      </c>
      <c r="H38" s="41" t="s">
        <v>45</v>
      </c>
      <c r="I38" s="39"/>
      <c r="J38" s="5"/>
      <c r="K38" s="5"/>
      <c r="L38" s="5"/>
      <c r="M38" s="5"/>
      <c r="N38" s="5"/>
      <c r="O38" s="5"/>
      <c r="P38" s="5"/>
      <c r="Q38" s="5"/>
      <c r="R38" s="5"/>
      <c r="S38" s="5"/>
      <c r="T38" s="5"/>
      <c r="U38" s="5"/>
      <c r="V38" s="5"/>
      <c r="W38" s="5"/>
      <c r="X38" s="5"/>
      <c r="Y38" s="5"/>
      <c r="Z38" s="5"/>
    </row>
    <row r="39" ht="15.75" customHeight="1">
      <c r="A39" s="42" t="s">
        <v>1240</v>
      </c>
      <c r="B39" s="43" t="s">
        <v>1241</v>
      </c>
      <c r="C39" s="45" t="s">
        <v>53</v>
      </c>
      <c r="D39" s="44" t="s">
        <v>41</v>
      </c>
      <c r="E39" s="43" t="s">
        <v>1242</v>
      </c>
      <c r="F39" s="43" t="s">
        <v>1243</v>
      </c>
      <c r="G39" s="43" t="s">
        <v>992</v>
      </c>
      <c r="H39" s="44" t="s">
        <v>45</v>
      </c>
      <c r="I39" s="43"/>
      <c r="J39" s="5"/>
      <c r="K39" s="5"/>
      <c r="L39" s="5"/>
      <c r="M39" s="5"/>
      <c r="N39" s="5"/>
      <c r="O39" s="5"/>
      <c r="P39" s="5"/>
      <c r="Q39" s="5"/>
      <c r="R39" s="5"/>
      <c r="S39" s="5"/>
      <c r="T39" s="5"/>
      <c r="U39" s="5"/>
      <c r="V39" s="5"/>
      <c r="W39" s="5"/>
      <c r="X39" s="5"/>
      <c r="Y39" s="5"/>
      <c r="Z39" s="5"/>
    </row>
    <row r="40" ht="15.75" customHeight="1">
      <c r="A40" s="42" t="s">
        <v>1244</v>
      </c>
      <c r="B40" s="39" t="s">
        <v>1245</v>
      </c>
      <c r="C40" s="45" t="s">
        <v>53</v>
      </c>
      <c r="D40" s="41" t="s">
        <v>41</v>
      </c>
      <c r="E40" s="39" t="s">
        <v>1246</v>
      </c>
      <c r="F40" s="39" t="s">
        <v>1247</v>
      </c>
      <c r="G40" s="39" t="s">
        <v>1248</v>
      </c>
      <c r="H40" s="41" t="s">
        <v>45</v>
      </c>
      <c r="I40" s="39"/>
      <c r="J40" s="5"/>
      <c r="K40" s="5"/>
      <c r="L40" s="5"/>
      <c r="M40" s="5"/>
      <c r="N40" s="5"/>
      <c r="O40" s="5"/>
      <c r="P40" s="5"/>
      <c r="Q40" s="5"/>
      <c r="R40" s="5"/>
      <c r="S40" s="5"/>
      <c r="T40" s="5"/>
      <c r="U40" s="5"/>
      <c r="V40" s="5"/>
      <c r="W40" s="5"/>
      <c r="X40" s="5"/>
      <c r="Y40" s="5"/>
      <c r="Z40" s="5"/>
    </row>
    <row r="41" ht="15.75" customHeight="1">
      <c r="A41" s="42" t="s">
        <v>1249</v>
      </c>
      <c r="B41" s="43" t="s">
        <v>1250</v>
      </c>
      <c r="C41" s="40" t="s">
        <v>40</v>
      </c>
      <c r="D41" s="44" t="s">
        <v>41</v>
      </c>
      <c r="E41" s="43" t="s">
        <v>1251</v>
      </c>
      <c r="F41" s="43" t="s">
        <v>1252</v>
      </c>
      <c r="G41" s="43" t="s">
        <v>1253</v>
      </c>
      <c r="H41" s="44" t="s">
        <v>45</v>
      </c>
      <c r="I41" s="43" t="s">
        <v>1254</v>
      </c>
      <c r="J41" s="5"/>
      <c r="K41" s="5"/>
      <c r="L41" s="5"/>
      <c r="M41" s="5"/>
      <c r="N41" s="5"/>
      <c r="O41" s="5"/>
      <c r="P41" s="5"/>
      <c r="Q41" s="5"/>
      <c r="R41" s="5"/>
      <c r="S41" s="5"/>
      <c r="T41" s="5"/>
      <c r="U41" s="5"/>
      <c r="V41" s="5"/>
      <c r="W41" s="5"/>
      <c r="X41" s="5"/>
      <c r="Y41" s="5"/>
      <c r="Z41" s="5"/>
    </row>
    <row r="42" ht="15.75" customHeight="1">
      <c r="A42" s="42" t="s">
        <v>1255</v>
      </c>
      <c r="B42" s="39" t="s">
        <v>1256</v>
      </c>
      <c r="C42" s="40" t="s">
        <v>40</v>
      </c>
      <c r="D42" s="41" t="s">
        <v>41</v>
      </c>
      <c r="E42" s="53" t="s">
        <v>1257</v>
      </c>
      <c r="F42" s="53" t="s">
        <v>1258</v>
      </c>
      <c r="G42" s="53" t="s">
        <v>1259</v>
      </c>
      <c r="H42" s="41" t="s">
        <v>45</v>
      </c>
      <c r="I42" s="39"/>
      <c r="J42" s="5"/>
      <c r="K42" s="5"/>
      <c r="L42" s="5"/>
      <c r="M42" s="5"/>
      <c r="N42" s="5"/>
      <c r="O42" s="5"/>
      <c r="P42" s="5"/>
      <c r="Q42" s="5"/>
      <c r="R42" s="5"/>
      <c r="S42" s="5"/>
      <c r="T42" s="5"/>
      <c r="U42" s="5"/>
      <c r="V42" s="5"/>
      <c r="W42" s="5"/>
      <c r="X42" s="5"/>
      <c r="Y42" s="5"/>
      <c r="Z42" s="5"/>
    </row>
    <row r="43" ht="15.75" customHeight="1">
      <c r="A43" s="42" t="s">
        <v>1260</v>
      </c>
      <c r="B43" s="43" t="s">
        <v>1261</v>
      </c>
      <c r="C43" s="45" t="s">
        <v>53</v>
      </c>
      <c r="D43" s="44" t="s">
        <v>41</v>
      </c>
      <c r="E43" s="53" t="s">
        <v>698</v>
      </c>
      <c r="F43" s="52" t="s">
        <v>1262</v>
      </c>
      <c r="G43" s="43" t="s">
        <v>1263</v>
      </c>
      <c r="H43" s="44" t="s">
        <v>45</v>
      </c>
      <c r="I43" s="43"/>
      <c r="J43" s="5"/>
      <c r="K43" s="5"/>
      <c r="L43" s="5"/>
      <c r="M43" s="5"/>
      <c r="N43" s="5"/>
      <c r="O43" s="5"/>
      <c r="P43" s="5"/>
      <c r="Q43" s="5"/>
      <c r="R43" s="5"/>
      <c r="S43" s="5"/>
      <c r="T43" s="5"/>
      <c r="U43" s="5"/>
      <c r="V43" s="5"/>
      <c r="W43" s="5"/>
      <c r="X43" s="5"/>
      <c r="Y43" s="5"/>
      <c r="Z43" s="5"/>
    </row>
    <row r="44">
      <c r="A44" s="42" t="s">
        <v>1264</v>
      </c>
      <c r="B44" s="39" t="s">
        <v>1265</v>
      </c>
      <c r="C44" s="40" t="s">
        <v>53</v>
      </c>
      <c r="D44" s="41" t="s">
        <v>755</v>
      </c>
      <c r="E44" s="53" t="s">
        <v>1266</v>
      </c>
      <c r="F44" s="53" t="s">
        <v>1267</v>
      </c>
      <c r="G44" s="53" t="s">
        <v>1268</v>
      </c>
      <c r="H44" s="41" t="s">
        <v>45</v>
      </c>
      <c r="I44" s="39"/>
      <c r="J44" s="5"/>
      <c r="K44" s="5"/>
      <c r="L44" s="5"/>
      <c r="M44" s="5"/>
      <c r="N44" s="5"/>
      <c r="O44" s="5"/>
      <c r="P44" s="5"/>
      <c r="Q44" s="5"/>
      <c r="R44" s="5"/>
      <c r="S44" s="5"/>
      <c r="T44" s="5"/>
      <c r="U44" s="5"/>
      <c r="V44" s="5"/>
      <c r="W44" s="5"/>
      <c r="X44" s="5"/>
      <c r="Y44" s="5"/>
      <c r="Z44" s="5"/>
    </row>
    <row r="45">
      <c r="A45" s="42" t="s">
        <v>1269</v>
      </c>
      <c r="B45" s="43" t="s">
        <v>1270</v>
      </c>
      <c r="C45" s="40" t="s">
        <v>74</v>
      </c>
      <c r="D45" s="44" t="s">
        <v>755</v>
      </c>
      <c r="E45" s="53" t="s">
        <v>1271</v>
      </c>
      <c r="F45" s="52" t="s">
        <v>1272</v>
      </c>
      <c r="G45" s="43" t="s">
        <v>1273</v>
      </c>
      <c r="H45" s="57" t="s">
        <v>45</v>
      </c>
      <c r="I45" s="43"/>
      <c r="J45" s="5"/>
      <c r="K45" s="5"/>
      <c r="L45" s="5"/>
      <c r="M45" s="5"/>
      <c r="N45" s="5"/>
      <c r="O45" s="5"/>
      <c r="P45" s="5"/>
      <c r="Q45" s="5"/>
      <c r="R45" s="5"/>
      <c r="S45" s="5"/>
      <c r="T45" s="5"/>
      <c r="U45" s="5"/>
      <c r="V45" s="5"/>
      <c r="W45" s="5"/>
      <c r="X45" s="5"/>
      <c r="Y45" s="5"/>
      <c r="Z45" s="5"/>
    </row>
    <row r="46">
      <c r="A46" s="42" t="s">
        <v>1274</v>
      </c>
      <c r="B46" s="39" t="s">
        <v>1275</v>
      </c>
      <c r="C46" s="40" t="s">
        <v>40</v>
      </c>
      <c r="D46" s="41" t="s">
        <v>41</v>
      </c>
      <c r="E46" s="53" t="s">
        <v>1276</v>
      </c>
      <c r="F46" s="53" t="s">
        <v>1277</v>
      </c>
      <c r="G46" s="53" t="s">
        <v>1278</v>
      </c>
      <c r="H46" s="41" t="s">
        <v>45</v>
      </c>
      <c r="I46" s="39" t="s">
        <v>1044</v>
      </c>
      <c r="J46" s="5"/>
      <c r="K46" s="5"/>
      <c r="L46" s="5"/>
      <c r="M46" s="5"/>
      <c r="N46" s="5"/>
      <c r="O46" s="5"/>
      <c r="P46" s="5"/>
      <c r="Q46" s="5"/>
      <c r="R46" s="5"/>
      <c r="S46" s="5"/>
      <c r="T46" s="5"/>
      <c r="U46" s="5"/>
      <c r="V46" s="5"/>
      <c r="W46" s="5"/>
      <c r="X46" s="5"/>
      <c r="Y46" s="5"/>
      <c r="Z46" s="5"/>
    </row>
    <row r="47">
      <c r="A47" s="42" t="s">
        <v>1279</v>
      </c>
      <c r="B47" s="43" t="s">
        <v>1280</v>
      </c>
      <c r="C47" s="45" t="s">
        <v>53</v>
      </c>
      <c r="D47" s="44" t="s">
        <v>360</v>
      </c>
      <c r="E47" s="53" t="s">
        <v>1281</v>
      </c>
      <c r="F47" s="52" t="s">
        <v>1282</v>
      </c>
      <c r="G47" s="43" t="s">
        <v>1283</v>
      </c>
      <c r="H47" s="57" t="s">
        <v>45</v>
      </c>
      <c r="I47" s="43"/>
      <c r="J47" s="5"/>
      <c r="K47" s="5"/>
      <c r="L47" s="5"/>
      <c r="M47" s="5"/>
      <c r="N47" s="5"/>
      <c r="O47" s="5"/>
      <c r="P47" s="5"/>
      <c r="Q47" s="5"/>
      <c r="R47" s="5"/>
      <c r="S47" s="5"/>
      <c r="T47" s="5"/>
      <c r="U47" s="5"/>
      <c r="V47" s="5"/>
      <c r="W47" s="5"/>
      <c r="X47" s="5"/>
      <c r="Y47" s="5"/>
      <c r="Z47" s="5"/>
    </row>
    <row r="48">
      <c r="A48" s="42" t="s">
        <v>1284</v>
      </c>
      <c r="B48" s="39" t="s">
        <v>1285</v>
      </c>
      <c r="C48" s="40" t="s">
        <v>40</v>
      </c>
      <c r="D48" s="41" t="s">
        <v>41</v>
      </c>
      <c r="E48" s="53" t="s">
        <v>1286</v>
      </c>
      <c r="F48" s="53" t="s">
        <v>1287</v>
      </c>
      <c r="G48" s="53" t="s">
        <v>1288</v>
      </c>
      <c r="H48" s="41" t="s">
        <v>45</v>
      </c>
      <c r="I48" s="39"/>
      <c r="J48" s="5"/>
      <c r="K48" s="5"/>
      <c r="L48" s="5"/>
      <c r="M48" s="5"/>
      <c r="N48" s="5"/>
      <c r="O48" s="5"/>
      <c r="P48" s="5"/>
      <c r="Q48" s="5"/>
      <c r="R48" s="5"/>
      <c r="S48" s="5"/>
      <c r="T48" s="5"/>
      <c r="U48" s="5"/>
      <c r="V48" s="5"/>
      <c r="W48" s="5"/>
      <c r="X48" s="5"/>
      <c r="Y48" s="5"/>
      <c r="Z48" s="5"/>
    </row>
    <row r="49">
      <c r="A49" s="42" t="s">
        <v>1289</v>
      </c>
      <c r="B49" s="43" t="s">
        <v>1290</v>
      </c>
      <c r="C49" s="40" t="s">
        <v>40</v>
      </c>
      <c r="D49" s="44" t="s">
        <v>360</v>
      </c>
      <c r="E49" s="53" t="s">
        <v>1291</v>
      </c>
      <c r="F49" s="52" t="s">
        <v>1292</v>
      </c>
      <c r="G49" s="53" t="s">
        <v>1293</v>
      </c>
      <c r="H49" s="57" t="s">
        <v>45</v>
      </c>
      <c r="I49" s="43"/>
      <c r="J49" s="5"/>
      <c r="K49" s="5"/>
      <c r="L49" s="5"/>
      <c r="M49" s="5"/>
      <c r="N49" s="5"/>
      <c r="O49" s="5"/>
      <c r="P49" s="5"/>
      <c r="Q49" s="5"/>
      <c r="R49" s="5"/>
      <c r="S49" s="5"/>
      <c r="T49" s="5"/>
      <c r="U49" s="5"/>
      <c r="V49" s="5"/>
      <c r="W49" s="5"/>
      <c r="X49" s="5"/>
      <c r="Y49" s="5"/>
      <c r="Z49" s="5"/>
    </row>
    <row r="50">
      <c r="A50" s="58" t="s">
        <v>1294</v>
      </c>
      <c r="B50" s="39" t="s">
        <v>1295</v>
      </c>
      <c r="C50" s="40" t="s">
        <v>53</v>
      </c>
      <c r="D50" s="41" t="s">
        <v>41</v>
      </c>
      <c r="E50" s="53" t="s">
        <v>1296</v>
      </c>
      <c r="F50" s="53" t="s">
        <v>1297</v>
      </c>
      <c r="G50" s="53" t="s">
        <v>1298</v>
      </c>
      <c r="H50" s="41" t="s">
        <v>45</v>
      </c>
      <c r="I50" s="39"/>
      <c r="J50" s="5"/>
      <c r="K50" s="5"/>
      <c r="L50" s="5"/>
      <c r="M50" s="5"/>
      <c r="N50" s="5"/>
      <c r="O50" s="5"/>
      <c r="P50" s="5"/>
      <c r="Q50" s="5"/>
      <c r="R50" s="5"/>
      <c r="S50" s="5"/>
      <c r="T50" s="5"/>
      <c r="U50" s="5"/>
      <c r="V50" s="5"/>
      <c r="W50" s="5"/>
      <c r="X50" s="5"/>
      <c r="Y50" s="5"/>
      <c r="Z50" s="5"/>
    </row>
    <row r="51">
      <c r="A51" s="58" t="s">
        <v>1299</v>
      </c>
      <c r="B51" s="43" t="s">
        <v>1300</v>
      </c>
      <c r="C51" s="40" t="s">
        <v>53</v>
      </c>
      <c r="D51" s="44" t="s">
        <v>41</v>
      </c>
      <c r="E51" s="53" t="s">
        <v>1301</v>
      </c>
      <c r="F51" s="52" t="s">
        <v>1302</v>
      </c>
      <c r="G51" s="52" t="s">
        <v>1303</v>
      </c>
      <c r="H51" s="57" t="s">
        <v>45</v>
      </c>
      <c r="I51" s="43"/>
      <c r="J51" s="5"/>
      <c r="K51" s="5"/>
      <c r="L51" s="5"/>
      <c r="M51" s="5"/>
      <c r="N51" s="5"/>
      <c r="O51" s="5"/>
      <c r="P51" s="5"/>
      <c r="Q51" s="5"/>
      <c r="R51" s="5"/>
      <c r="S51" s="5"/>
      <c r="T51" s="5"/>
      <c r="U51" s="5"/>
      <c r="V51" s="5"/>
      <c r="W51" s="5"/>
      <c r="X51" s="5"/>
      <c r="Y51" s="5"/>
      <c r="Z51" s="5"/>
    </row>
    <row r="52" ht="114.75" customHeight="1">
      <c r="A52" s="59" t="s">
        <v>1304</v>
      </c>
      <c r="B52" s="39" t="s">
        <v>1305</v>
      </c>
      <c r="C52" s="40" t="s">
        <v>40</v>
      </c>
      <c r="D52" s="41" t="s">
        <v>41</v>
      </c>
      <c r="E52" s="53" t="s">
        <v>1306</v>
      </c>
      <c r="F52" s="53" t="s">
        <v>1307</v>
      </c>
      <c r="G52" s="53" t="s">
        <v>1308</v>
      </c>
      <c r="H52" s="41" t="s">
        <v>45</v>
      </c>
      <c r="I52" s="39" t="s">
        <v>1309</v>
      </c>
      <c r="J52" s="5"/>
      <c r="K52" s="5"/>
      <c r="L52" s="5"/>
      <c r="M52" s="5"/>
      <c r="N52" s="5"/>
      <c r="O52" s="5"/>
      <c r="P52" s="5"/>
      <c r="Q52" s="5"/>
      <c r="R52" s="5"/>
      <c r="S52" s="5"/>
      <c r="T52" s="5"/>
      <c r="U52" s="5"/>
      <c r="V52" s="5"/>
      <c r="W52" s="5"/>
      <c r="X52" s="5"/>
      <c r="Y52" s="5"/>
      <c r="Z52" s="5"/>
    </row>
    <row r="53">
      <c r="A53" s="59" t="s">
        <v>1310</v>
      </c>
      <c r="B53" s="52" t="s">
        <v>1311</v>
      </c>
      <c r="C53" s="60" t="s">
        <v>40</v>
      </c>
      <c r="D53" s="61" t="s">
        <v>41</v>
      </c>
      <c r="E53" s="53" t="s">
        <v>1312</v>
      </c>
      <c r="F53" s="62" t="s">
        <v>1313</v>
      </c>
      <c r="G53" s="52" t="s">
        <v>1314</v>
      </c>
      <c r="H53" s="61" t="s">
        <v>45</v>
      </c>
      <c r="I53" s="52" t="s">
        <v>1315</v>
      </c>
      <c r="J53" s="5"/>
      <c r="K53" s="5"/>
      <c r="L53" s="5"/>
      <c r="M53" s="5"/>
      <c r="N53" s="5"/>
      <c r="O53" s="5"/>
      <c r="P53" s="5"/>
      <c r="Q53" s="5"/>
      <c r="R53" s="5"/>
      <c r="S53" s="5"/>
      <c r="T53" s="5"/>
      <c r="U53" s="5"/>
      <c r="V53" s="5"/>
      <c r="W53" s="5"/>
      <c r="X53" s="5"/>
      <c r="Y53" s="5"/>
      <c r="Z53" s="5"/>
    </row>
    <row r="54">
      <c r="A54" s="59" t="s">
        <v>1316</v>
      </c>
      <c r="B54" s="39" t="s">
        <v>1317</v>
      </c>
      <c r="C54" s="40" t="s">
        <v>40</v>
      </c>
      <c r="D54" s="41" t="s">
        <v>41</v>
      </c>
      <c r="E54" s="53" t="s">
        <v>1318</v>
      </c>
      <c r="F54" s="53" t="s">
        <v>1319</v>
      </c>
      <c r="G54" s="53" t="s">
        <v>1320</v>
      </c>
      <c r="H54" s="41" t="s">
        <v>45</v>
      </c>
      <c r="I54" s="39" t="s">
        <v>1321</v>
      </c>
      <c r="J54" s="5"/>
      <c r="K54" s="5"/>
      <c r="L54" s="5"/>
      <c r="M54" s="5"/>
      <c r="N54" s="5"/>
      <c r="O54" s="5"/>
      <c r="P54" s="5"/>
      <c r="Q54" s="5"/>
      <c r="R54" s="5"/>
      <c r="S54" s="5"/>
      <c r="T54" s="5"/>
      <c r="U54" s="5"/>
      <c r="V54" s="5"/>
      <c r="W54" s="5"/>
      <c r="X54" s="5"/>
      <c r="Y54" s="5"/>
      <c r="Z54" s="5"/>
    </row>
    <row r="55">
      <c r="A55" s="63" t="s">
        <v>1322</v>
      </c>
      <c r="B55" s="63" t="s">
        <v>1323</v>
      </c>
      <c r="C55" s="63" t="s">
        <v>40</v>
      </c>
      <c r="D55" s="63" t="s">
        <v>41</v>
      </c>
      <c r="E55" s="63" t="s">
        <v>1324</v>
      </c>
      <c r="F55" s="63" t="s">
        <v>1325</v>
      </c>
      <c r="G55" s="63" t="s">
        <v>1326</v>
      </c>
      <c r="H55" s="63" t="s">
        <v>45</v>
      </c>
      <c r="I55" s="63" t="s">
        <v>1327</v>
      </c>
      <c r="J55" s="5"/>
      <c r="K55" s="5"/>
      <c r="L55" s="5"/>
      <c r="M55" s="5"/>
      <c r="N55" s="5"/>
      <c r="O55" s="5"/>
      <c r="P55" s="5"/>
      <c r="Q55" s="5"/>
      <c r="R55" s="5"/>
      <c r="S55" s="5"/>
      <c r="T55" s="5"/>
      <c r="U55" s="5"/>
      <c r="V55" s="5"/>
      <c r="W55" s="5"/>
      <c r="X55" s="5"/>
      <c r="Y55" s="5"/>
      <c r="Z55" s="5"/>
    </row>
    <row r="56">
      <c r="A56" s="63" t="s">
        <v>1328</v>
      </c>
      <c r="B56" s="63" t="s">
        <v>1329</v>
      </c>
      <c r="C56" s="63" t="s">
        <v>40</v>
      </c>
      <c r="D56" s="63" t="s">
        <v>41</v>
      </c>
      <c r="E56" s="63" t="s">
        <v>1330</v>
      </c>
      <c r="F56" s="63" t="s">
        <v>1331</v>
      </c>
      <c r="G56" s="63" t="s">
        <v>1332</v>
      </c>
      <c r="H56" s="63" t="s">
        <v>45</v>
      </c>
      <c r="I56" s="63" t="s">
        <v>1333</v>
      </c>
      <c r="J56" s="5"/>
      <c r="K56" s="5"/>
      <c r="L56" s="5"/>
      <c r="M56" s="5"/>
      <c r="N56" s="5"/>
      <c r="O56" s="5"/>
      <c r="P56" s="5"/>
      <c r="Q56" s="5"/>
      <c r="R56" s="5"/>
      <c r="S56" s="5"/>
      <c r="T56" s="5"/>
      <c r="U56" s="5"/>
      <c r="V56" s="5"/>
      <c r="W56" s="5"/>
      <c r="X56" s="5"/>
      <c r="Y56" s="5"/>
      <c r="Z56" s="5"/>
    </row>
    <row r="57">
      <c r="A57" s="63" t="s">
        <v>1334</v>
      </c>
      <c r="B57" s="63" t="s">
        <v>1335</v>
      </c>
      <c r="C57" s="63" t="s">
        <v>40</v>
      </c>
      <c r="D57" s="63" t="s">
        <v>41</v>
      </c>
      <c r="E57" s="63" t="s">
        <v>1336</v>
      </c>
      <c r="F57" s="63" t="s">
        <v>1337</v>
      </c>
      <c r="G57" s="63" t="s">
        <v>1338</v>
      </c>
      <c r="H57" s="63" t="s">
        <v>45</v>
      </c>
      <c r="I57" s="63" t="s">
        <v>1339</v>
      </c>
      <c r="J57" s="5"/>
      <c r="K57" s="5"/>
      <c r="L57" s="5"/>
      <c r="M57" s="5"/>
      <c r="N57" s="5"/>
      <c r="O57" s="5"/>
      <c r="P57" s="5"/>
      <c r="Q57" s="5"/>
      <c r="R57" s="5"/>
      <c r="S57" s="5"/>
      <c r="T57" s="5"/>
      <c r="U57" s="5"/>
      <c r="V57" s="5"/>
      <c r="W57" s="5"/>
      <c r="X57" s="5"/>
      <c r="Y57" s="5"/>
      <c r="Z57" s="5"/>
    </row>
    <row r="58">
      <c r="A58" s="63" t="s">
        <v>1340</v>
      </c>
      <c r="B58" s="63" t="s">
        <v>1341</v>
      </c>
      <c r="C58" s="63" t="s">
        <v>53</v>
      </c>
      <c r="D58" s="63" t="s">
        <v>755</v>
      </c>
      <c r="E58" s="63" t="s">
        <v>1342</v>
      </c>
      <c r="F58" s="63" t="s">
        <v>1343</v>
      </c>
      <c r="G58" s="63" t="s">
        <v>1344</v>
      </c>
      <c r="H58" s="63" t="s">
        <v>45</v>
      </c>
      <c r="I58" s="63" t="s">
        <v>1345</v>
      </c>
      <c r="J58" s="5"/>
      <c r="K58" s="5"/>
      <c r="L58" s="5"/>
      <c r="M58" s="5"/>
      <c r="N58" s="5"/>
      <c r="O58" s="5"/>
      <c r="P58" s="5"/>
      <c r="Q58" s="5"/>
      <c r="R58" s="5"/>
      <c r="S58" s="5"/>
      <c r="T58" s="5"/>
      <c r="U58" s="5"/>
      <c r="V58" s="5"/>
      <c r="W58" s="5"/>
      <c r="X58" s="5"/>
      <c r="Y58" s="5"/>
      <c r="Z58" s="5"/>
    </row>
    <row r="59">
      <c r="A59" s="63" t="s">
        <v>1346</v>
      </c>
      <c r="B59" s="63" t="s">
        <v>1347</v>
      </c>
      <c r="C59" s="63" t="s">
        <v>53</v>
      </c>
      <c r="D59" s="63" t="s">
        <v>41</v>
      </c>
      <c r="E59" s="63" t="s">
        <v>1348</v>
      </c>
      <c r="F59" s="63" t="s">
        <v>1349</v>
      </c>
      <c r="G59" s="63" t="s">
        <v>1350</v>
      </c>
      <c r="H59" s="63" t="s">
        <v>45</v>
      </c>
      <c r="I59" s="63" t="s">
        <v>1351</v>
      </c>
      <c r="J59" s="5"/>
      <c r="K59" s="5"/>
      <c r="L59" s="5"/>
      <c r="M59" s="5"/>
      <c r="N59" s="5"/>
      <c r="O59" s="5"/>
      <c r="P59" s="5"/>
      <c r="Q59" s="5"/>
      <c r="R59" s="5"/>
      <c r="S59" s="5"/>
      <c r="T59" s="5"/>
      <c r="U59" s="5"/>
      <c r="V59" s="5"/>
      <c r="W59" s="5"/>
      <c r="X59" s="5"/>
      <c r="Y59" s="5"/>
      <c r="Z59" s="5"/>
    </row>
    <row r="60">
      <c r="A60" s="63" t="s">
        <v>1352</v>
      </c>
      <c r="B60" s="63" t="s">
        <v>1353</v>
      </c>
      <c r="C60" s="63" t="s">
        <v>40</v>
      </c>
      <c r="D60" s="63" t="s">
        <v>41</v>
      </c>
      <c r="E60" s="63" t="s">
        <v>1354</v>
      </c>
      <c r="F60" s="63" t="s">
        <v>1355</v>
      </c>
      <c r="G60" s="63" t="s">
        <v>1356</v>
      </c>
      <c r="H60" s="63" t="s">
        <v>45</v>
      </c>
      <c r="I60" s="63" t="s">
        <v>1357</v>
      </c>
      <c r="J60" s="5"/>
      <c r="K60" s="5"/>
      <c r="L60" s="5"/>
      <c r="M60" s="5"/>
      <c r="N60" s="5"/>
      <c r="O60" s="5"/>
      <c r="P60" s="5"/>
      <c r="Q60" s="5"/>
      <c r="R60" s="5"/>
      <c r="S60" s="5"/>
      <c r="T60" s="5"/>
      <c r="U60" s="5"/>
      <c r="V60" s="5"/>
      <c r="W60" s="5"/>
      <c r="X60" s="5"/>
      <c r="Y60" s="5"/>
      <c r="Z60" s="5"/>
    </row>
    <row r="61">
      <c r="A61" s="63" t="s">
        <v>1358</v>
      </c>
      <c r="B61" s="63" t="s">
        <v>1359</v>
      </c>
      <c r="C61" s="63" t="s">
        <v>53</v>
      </c>
      <c r="D61" s="63" t="s">
        <v>41</v>
      </c>
      <c r="E61" s="63" t="s">
        <v>1360</v>
      </c>
      <c r="F61" s="63" t="s">
        <v>1361</v>
      </c>
      <c r="G61" s="63" t="s">
        <v>1362</v>
      </c>
      <c r="H61" s="63" t="s">
        <v>45</v>
      </c>
      <c r="I61" s="63" t="s">
        <v>1363</v>
      </c>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sheetData>
  <mergeCells count="2">
    <mergeCell ref="A1:I1"/>
    <mergeCell ref="A2:I2"/>
  </mergeCells>
  <conditionalFormatting sqref="A23:I54">
    <cfRule type="expression" dxfId="0" priority="1">
      <formula>$H23="Blocked"</formula>
    </cfRule>
  </conditionalFormatting>
  <conditionalFormatting sqref="A23:I54">
    <cfRule type="expression" dxfId="1" priority="2">
      <formula>$H23="Fail"</formula>
    </cfRule>
  </conditionalFormatting>
  <conditionalFormatting sqref="A23:I54">
    <cfRule type="expression" dxfId="2" priority="3">
      <formula>$H23="Pass"</formula>
    </cfRule>
  </conditionalFormatting>
  <conditionalFormatting sqref="A5:A54 B5:I10">
    <cfRule type="expression" dxfId="2" priority="4">
      <formula>$H5="Pass"</formula>
    </cfRule>
  </conditionalFormatting>
  <conditionalFormatting sqref="A5:A54 B5:I10">
    <cfRule type="expression" dxfId="1" priority="5">
      <formula>$H5="Fail"</formula>
    </cfRule>
  </conditionalFormatting>
  <conditionalFormatting sqref="A5:A54 B5:I10">
    <cfRule type="expression" dxfId="0" priority="6">
      <formula>$H5="Blocked"</formula>
    </cfRule>
  </conditionalFormatting>
  <conditionalFormatting sqref="A5:A54 B5:I16">
    <cfRule type="expression" dxfId="2" priority="7">
      <formula>$H5="Pass"</formula>
    </cfRule>
  </conditionalFormatting>
  <conditionalFormatting sqref="A5:A54 B5:I16">
    <cfRule type="expression" dxfId="1" priority="8">
      <formula>$H5="Fail"</formula>
    </cfRule>
  </conditionalFormatting>
  <conditionalFormatting sqref="A5:A54 B5:I16">
    <cfRule type="expression" dxfId="0" priority="9">
      <formula>$H5="Blocked"</formula>
    </cfRule>
  </conditionalFormatting>
  <conditionalFormatting sqref="A5:A54 B5:I14">
    <cfRule type="expression" dxfId="2" priority="10">
      <formula>$H5="Pass"</formula>
    </cfRule>
  </conditionalFormatting>
  <conditionalFormatting sqref="A5:A54 B5:I14">
    <cfRule type="expression" dxfId="1" priority="11">
      <formula>$H5="Fail"</formula>
    </cfRule>
  </conditionalFormatting>
  <conditionalFormatting sqref="A5:A54 B5:I14">
    <cfRule type="expression" dxfId="0" priority="12">
      <formula>$H5="Blocked"</formula>
    </cfRule>
  </conditionalFormatting>
  <conditionalFormatting sqref="A5:A54 B5:I17 C30:C31 C34:C35 C37 C39:C40 C42:C44 C46:C48 C50 C52 C54">
    <cfRule type="expression" dxfId="2" priority="13">
      <formula>$H5="Pass"</formula>
    </cfRule>
  </conditionalFormatting>
  <conditionalFormatting sqref="A5:A54 B5:I17 C30:C31 C34:C35 C37 C39:C40 C42:C44 C46:C48 C50 C52 C54">
    <cfRule type="expression" dxfId="1" priority="14">
      <formula>$H5="Fail"</formula>
    </cfRule>
  </conditionalFormatting>
  <conditionalFormatting sqref="A5:A54 B5:I17 C30:C31 C34:C35 C37 C39:C40 C42:C44 C46:C48 C50 C52 C54">
    <cfRule type="expression" dxfId="0" priority="15">
      <formula>$H5="Blocked"</formula>
    </cfRule>
  </conditionalFormatting>
  <conditionalFormatting sqref="A5:A54 B5:I20 C30:C31 C34:C35 C37 C39:C40 C42:C44 C46:C48 C50 C52 C54">
    <cfRule type="expression" dxfId="2" priority="16">
      <formula>$H5="Pass"</formula>
    </cfRule>
  </conditionalFormatting>
  <conditionalFormatting sqref="A5:A54 B5:I20 C30:C31 C34:C35 C37 C39:C40 C42:C44 C46:C48 C50 C52 C54">
    <cfRule type="expression" dxfId="1" priority="17">
      <formula>$H5="Fail"</formula>
    </cfRule>
  </conditionalFormatting>
  <conditionalFormatting sqref="A5:A54 B5:I20 C30:C31 C34:C35 C37 C39:C40 C42:C44 C46:C48 C50 C52 C54">
    <cfRule type="expression" dxfId="0" priority="18">
      <formula>$H5="Blocked"</formula>
    </cfRule>
  </conditionalFormatting>
  <conditionalFormatting sqref="A5:I54">
    <cfRule type="expression" dxfId="2" priority="19">
      <formula>$H5="Pass"</formula>
    </cfRule>
  </conditionalFormatting>
  <conditionalFormatting sqref="A5:I54">
    <cfRule type="expression" dxfId="1" priority="20">
      <formula>$H5="Fail"</formula>
    </cfRule>
  </conditionalFormatting>
  <conditionalFormatting sqref="A5:I54">
    <cfRule type="expression" dxfId="0" priority="21">
      <formula>$H5="Blocked"</formula>
    </cfRule>
  </conditionalFormatting>
  <dataValidations>
    <dataValidation type="list" allowBlank="1" sqref="H5:H41">
      <formula1>"Pass,Fail,Blocked,Not Run"</formula1>
    </dataValidation>
  </dataValidations>
  <hyperlinks>
    <hyperlink r:id="rId1" ref="F53"/>
  </hyperlinks>
  <printOptions/>
  <pageMargins bottom="1.0" footer="0.0" header="0.0" left="0.75" right="0.75" top="1.0"/>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32.0"/>
    <col customWidth="1" min="3" max="3" width="10.0"/>
    <col customWidth="1" min="4" max="4" width="13.0"/>
    <col customWidth="1" min="5" max="5" width="30.0"/>
    <col customWidth="1" min="6" max="7" width="42.0"/>
    <col customWidth="1" min="8" max="8" width="12.0"/>
    <col customWidth="1" min="9" max="9" width="30.0"/>
  </cols>
  <sheetData>
    <row r="1" ht="31.5" customHeight="1">
      <c r="A1" s="35" t="s">
        <v>1364</v>
      </c>
      <c r="B1" s="3"/>
      <c r="C1" s="3"/>
      <c r="D1" s="3"/>
      <c r="E1" s="3"/>
      <c r="F1" s="3"/>
      <c r="G1" s="3"/>
      <c r="H1" s="3"/>
      <c r="I1" s="4"/>
      <c r="J1" s="5"/>
      <c r="K1" s="5"/>
      <c r="L1" s="5"/>
      <c r="M1" s="5"/>
      <c r="N1" s="5"/>
      <c r="O1" s="5"/>
      <c r="P1" s="5"/>
      <c r="Q1" s="5"/>
      <c r="R1" s="5"/>
      <c r="S1" s="5"/>
      <c r="T1" s="5"/>
      <c r="U1" s="5"/>
      <c r="V1" s="5"/>
      <c r="W1" s="5"/>
      <c r="X1" s="5"/>
      <c r="Y1" s="5"/>
      <c r="Z1" s="5"/>
    </row>
    <row r="2" ht="15.75" customHeight="1">
      <c r="A2" s="36" t="s">
        <v>1365</v>
      </c>
      <c r="B2" s="3"/>
      <c r="C2" s="3"/>
      <c r="D2" s="3"/>
      <c r="E2" s="3"/>
      <c r="F2" s="3"/>
      <c r="G2" s="3"/>
      <c r="H2" s="3"/>
      <c r="I2" s="4"/>
      <c r="J2" s="5"/>
      <c r="K2" s="5"/>
      <c r="L2" s="5"/>
      <c r="M2" s="5"/>
      <c r="N2" s="5"/>
      <c r="O2" s="5"/>
      <c r="P2" s="5"/>
      <c r="Q2" s="5"/>
      <c r="R2" s="5"/>
      <c r="S2" s="5"/>
      <c r="T2" s="5"/>
      <c r="U2" s="5"/>
      <c r="V2" s="5"/>
      <c r="W2" s="5"/>
      <c r="X2" s="5"/>
      <c r="Y2" s="5"/>
      <c r="Z2" s="5"/>
    </row>
    <row r="3" ht="7.5" customHeight="1">
      <c r="A3" s="5"/>
      <c r="B3" s="5"/>
      <c r="C3" s="5"/>
      <c r="D3" s="5"/>
      <c r="E3" s="5"/>
      <c r="F3" s="5"/>
      <c r="G3" s="5"/>
      <c r="H3" s="5"/>
      <c r="I3" s="5"/>
      <c r="J3" s="5"/>
      <c r="K3" s="5"/>
      <c r="L3" s="5"/>
      <c r="M3" s="5"/>
      <c r="N3" s="5"/>
      <c r="O3" s="5"/>
      <c r="P3" s="5"/>
      <c r="Q3" s="5"/>
      <c r="R3" s="5"/>
      <c r="S3" s="5"/>
      <c r="T3" s="5"/>
      <c r="U3" s="5"/>
      <c r="V3" s="5"/>
      <c r="W3" s="5"/>
      <c r="X3" s="5"/>
      <c r="Y3" s="5"/>
      <c r="Z3" s="5"/>
    </row>
    <row r="4" ht="21.75" customHeight="1">
      <c r="A4" s="37" t="s">
        <v>29</v>
      </c>
      <c r="B4" s="37" t="s">
        <v>30</v>
      </c>
      <c r="C4" s="37" t="s">
        <v>31</v>
      </c>
      <c r="D4" s="37" t="s">
        <v>32</v>
      </c>
      <c r="E4" s="37" t="s">
        <v>33</v>
      </c>
      <c r="F4" s="37" t="s">
        <v>34</v>
      </c>
      <c r="G4" s="37" t="s">
        <v>35</v>
      </c>
      <c r="H4" s="37" t="s">
        <v>36</v>
      </c>
      <c r="I4" s="37" t="s">
        <v>37</v>
      </c>
      <c r="J4" s="5"/>
      <c r="K4" s="5"/>
      <c r="L4" s="5"/>
      <c r="M4" s="5"/>
      <c r="N4" s="5"/>
      <c r="O4" s="5"/>
      <c r="P4" s="5"/>
      <c r="Q4" s="5"/>
      <c r="R4" s="5"/>
      <c r="S4" s="5"/>
      <c r="T4" s="5"/>
      <c r="U4" s="5"/>
      <c r="V4" s="5"/>
      <c r="W4" s="5"/>
      <c r="X4" s="5"/>
      <c r="Y4" s="5"/>
      <c r="Z4" s="5"/>
    </row>
    <row r="5">
      <c r="A5" s="38" t="s">
        <v>1366</v>
      </c>
      <c r="B5" s="39" t="s">
        <v>1367</v>
      </c>
      <c r="C5" s="40" t="s">
        <v>40</v>
      </c>
      <c r="D5" s="41" t="s">
        <v>41</v>
      </c>
      <c r="E5" s="39" t="s">
        <v>1368</v>
      </c>
      <c r="F5" s="39" t="s">
        <v>1369</v>
      </c>
      <c r="G5" s="53" t="s">
        <v>1370</v>
      </c>
      <c r="H5" s="41" t="s">
        <v>45</v>
      </c>
      <c r="I5" s="53" t="s">
        <v>1371</v>
      </c>
      <c r="J5" s="5"/>
      <c r="K5" s="5"/>
      <c r="L5" s="5"/>
      <c r="M5" s="5"/>
      <c r="N5" s="5"/>
      <c r="O5" s="5"/>
      <c r="P5" s="5"/>
      <c r="Q5" s="5"/>
      <c r="R5" s="5"/>
      <c r="S5" s="5"/>
      <c r="T5" s="5"/>
      <c r="U5" s="5"/>
      <c r="V5" s="5"/>
      <c r="W5" s="5"/>
      <c r="X5" s="5"/>
      <c r="Y5" s="5"/>
      <c r="Z5" s="5"/>
    </row>
    <row r="6">
      <c r="A6" s="42" t="s">
        <v>1372</v>
      </c>
      <c r="B6" s="52" t="s">
        <v>1373</v>
      </c>
      <c r="C6" s="40" t="s">
        <v>40</v>
      </c>
      <c r="D6" s="44" t="s">
        <v>41</v>
      </c>
      <c r="E6" s="43" t="s">
        <v>1374</v>
      </c>
      <c r="F6" s="52" t="s">
        <v>1375</v>
      </c>
      <c r="G6" s="52" t="s">
        <v>1376</v>
      </c>
      <c r="H6" s="44" t="s">
        <v>45</v>
      </c>
      <c r="I6" s="43"/>
      <c r="J6" s="5"/>
      <c r="K6" s="5"/>
      <c r="L6" s="5"/>
      <c r="M6" s="5"/>
      <c r="N6" s="5"/>
      <c r="O6" s="5"/>
      <c r="P6" s="5"/>
      <c r="Q6" s="5"/>
      <c r="R6" s="5"/>
      <c r="S6" s="5"/>
      <c r="T6" s="5"/>
      <c r="U6" s="5"/>
      <c r="V6" s="5"/>
      <c r="W6" s="5"/>
      <c r="X6" s="5"/>
      <c r="Y6" s="5"/>
      <c r="Z6" s="5"/>
    </row>
    <row r="7">
      <c r="A7" s="38" t="s">
        <v>1377</v>
      </c>
      <c r="B7" s="39" t="s">
        <v>1378</v>
      </c>
      <c r="C7" s="40" t="s">
        <v>40</v>
      </c>
      <c r="D7" s="41" t="s">
        <v>41</v>
      </c>
      <c r="E7" s="53" t="s">
        <v>1379</v>
      </c>
      <c r="F7" s="53" t="s">
        <v>1380</v>
      </c>
      <c r="G7" s="53" t="s">
        <v>1381</v>
      </c>
      <c r="H7" s="41" t="s">
        <v>45</v>
      </c>
      <c r="I7" s="53" t="s">
        <v>1382</v>
      </c>
      <c r="J7" s="5"/>
      <c r="K7" s="5"/>
      <c r="L7" s="5"/>
      <c r="M7" s="5"/>
      <c r="N7" s="5"/>
      <c r="O7" s="5"/>
      <c r="P7" s="5"/>
      <c r="Q7" s="5"/>
      <c r="R7" s="5"/>
      <c r="S7" s="5"/>
      <c r="T7" s="5"/>
      <c r="U7" s="5"/>
      <c r="V7" s="5"/>
      <c r="W7" s="5"/>
      <c r="X7" s="5"/>
      <c r="Y7" s="5"/>
      <c r="Z7" s="5"/>
    </row>
    <row r="8">
      <c r="A8" s="38" t="s">
        <v>1383</v>
      </c>
      <c r="B8" s="39" t="s">
        <v>1384</v>
      </c>
      <c r="C8" s="40" t="s">
        <v>40</v>
      </c>
      <c r="D8" s="41" t="s">
        <v>41</v>
      </c>
      <c r="E8" s="39" t="s">
        <v>1385</v>
      </c>
      <c r="F8" s="39" t="s">
        <v>1386</v>
      </c>
      <c r="G8" s="39" t="s">
        <v>1387</v>
      </c>
      <c r="H8" s="41" t="s">
        <v>45</v>
      </c>
      <c r="I8" s="39"/>
      <c r="J8" s="5"/>
      <c r="K8" s="5"/>
      <c r="L8" s="5"/>
      <c r="M8" s="5"/>
      <c r="N8" s="5"/>
      <c r="O8" s="5"/>
      <c r="P8" s="5"/>
      <c r="Q8" s="5"/>
      <c r="R8" s="5"/>
      <c r="S8" s="5"/>
      <c r="T8" s="5"/>
      <c r="U8" s="5"/>
      <c r="V8" s="5"/>
      <c r="W8" s="5"/>
      <c r="X8" s="5"/>
      <c r="Y8" s="5"/>
      <c r="Z8" s="5"/>
    </row>
    <row r="9">
      <c r="A9" s="42" t="s">
        <v>1388</v>
      </c>
      <c r="B9" s="43" t="s">
        <v>1389</v>
      </c>
      <c r="C9" s="40" t="s">
        <v>40</v>
      </c>
      <c r="D9" s="44" t="s">
        <v>41</v>
      </c>
      <c r="E9" s="52" t="s">
        <v>1390</v>
      </c>
      <c r="F9" s="43" t="s">
        <v>1391</v>
      </c>
      <c r="G9" s="43" t="s">
        <v>1392</v>
      </c>
      <c r="H9" s="44" t="s">
        <v>45</v>
      </c>
      <c r="I9" s="43" t="s">
        <v>1393</v>
      </c>
      <c r="J9" s="5"/>
      <c r="K9" s="5"/>
      <c r="L9" s="5"/>
      <c r="M9" s="5"/>
      <c r="N9" s="5"/>
      <c r="O9" s="5"/>
      <c r="P9" s="5"/>
      <c r="Q9" s="5"/>
      <c r="R9" s="5"/>
      <c r="S9" s="5"/>
      <c r="T9" s="5"/>
      <c r="U9" s="5"/>
      <c r="V9" s="5"/>
      <c r="W9" s="5"/>
      <c r="X9" s="5"/>
      <c r="Y9" s="5"/>
      <c r="Z9" s="5"/>
    </row>
    <row r="10">
      <c r="A10" s="38" t="s">
        <v>1394</v>
      </c>
      <c r="B10" s="39" t="s">
        <v>1395</v>
      </c>
      <c r="C10" s="40" t="s">
        <v>40</v>
      </c>
      <c r="D10" s="41" t="s">
        <v>360</v>
      </c>
      <c r="E10" s="53" t="s">
        <v>1396</v>
      </c>
      <c r="F10" s="39" t="s">
        <v>1397</v>
      </c>
      <c r="G10" s="39" t="s">
        <v>1398</v>
      </c>
      <c r="H10" s="41" t="s">
        <v>45</v>
      </c>
      <c r="I10" s="53" t="s">
        <v>1399</v>
      </c>
      <c r="J10" s="5"/>
      <c r="K10" s="5"/>
      <c r="L10" s="5"/>
      <c r="M10" s="5"/>
      <c r="N10" s="5"/>
      <c r="O10" s="5"/>
      <c r="P10" s="5"/>
      <c r="Q10" s="5"/>
      <c r="R10" s="5"/>
      <c r="S10" s="5"/>
      <c r="T10" s="5"/>
      <c r="U10" s="5"/>
      <c r="V10" s="5"/>
      <c r="W10" s="5"/>
      <c r="X10" s="5"/>
      <c r="Y10" s="5"/>
      <c r="Z10" s="5"/>
    </row>
    <row r="11">
      <c r="A11" s="42" t="s">
        <v>1400</v>
      </c>
      <c r="B11" s="43" t="s">
        <v>1401</v>
      </c>
      <c r="C11" s="40" t="s">
        <v>40</v>
      </c>
      <c r="D11" s="44" t="s">
        <v>41</v>
      </c>
      <c r="E11" s="43" t="s">
        <v>1402</v>
      </c>
      <c r="F11" s="43" t="s">
        <v>1403</v>
      </c>
      <c r="G11" s="43" t="s">
        <v>1404</v>
      </c>
      <c r="H11" s="44" t="s">
        <v>45</v>
      </c>
      <c r="I11" s="43"/>
      <c r="J11" s="5"/>
      <c r="K11" s="5"/>
      <c r="L11" s="5"/>
      <c r="M11" s="5"/>
      <c r="N11" s="5"/>
      <c r="O11" s="5"/>
      <c r="P11" s="5"/>
      <c r="Q11" s="5"/>
      <c r="R11" s="5"/>
      <c r="S11" s="5"/>
      <c r="T11" s="5"/>
      <c r="U11" s="5"/>
      <c r="V11" s="5"/>
      <c r="W11" s="5"/>
      <c r="X11" s="5"/>
      <c r="Y11" s="5"/>
      <c r="Z11" s="5"/>
    </row>
    <row r="12">
      <c r="A12" s="38" t="s">
        <v>1405</v>
      </c>
      <c r="B12" s="39" t="s">
        <v>1406</v>
      </c>
      <c r="C12" s="40" t="s">
        <v>40</v>
      </c>
      <c r="D12" s="41" t="s">
        <v>41</v>
      </c>
      <c r="E12" s="39" t="s">
        <v>1407</v>
      </c>
      <c r="F12" s="39" t="s">
        <v>1408</v>
      </c>
      <c r="G12" s="39" t="s">
        <v>1409</v>
      </c>
      <c r="H12" s="41" t="s">
        <v>45</v>
      </c>
      <c r="I12" s="39" t="s">
        <v>1410</v>
      </c>
      <c r="J12" s="5"/>
      <c r="K12" s="5"/>
      <c r="L12" s="5"/>
      <c r="M12" s="5"/>
      <c r="N12" s="5"/>
      <c r="O12" s="5"/>
      <c r="P12" s="5"/>
      <c r="Q12" s="5"/>
      <c r="R12" s="5"/>
      <c r="S12" s="5"/>
      <c r="T12" s="5"/>
      <c r="U12" s="5"/>
      <c r="V12" s="5"/>
      <c r="W12" s="5"/>
      <c r="X12" s="5"/>
      <c r="Y12" s="5"/>
      <c r="Z12" s="5"/>
    </row>
    <row r="13">
      <c r="A13" s="42" t="s">
        <v>1411</v>
      </c>
      <c r="B13" s="43" t="s">
        <v>1412</v>
      </c>
      <c r="C13" s="45" t="s">
        <v>53</v>
      </c>
      <c r="D13" s="44" t="s">
        <v>41</v>
      </c>
      <c r="E13" s="43" t="s">
        <v>1413</v>
      </c>
      <c r="F13" s="43" t="s">
        <v>1414</v>
      </c>
      <c r="G13" s="52" t="s">
        <v>1415</v>
      </c>
      <c r="H13" s="44" t="s">
        <v>45</v>
      </c>
      <c r="I13" s="43" t="s">
        <v>1416</v>
      </c>
      <c r="J13" s="5"/>
      <c r="K13" s="5"/>
      <c r="L13" s="5"/>
      <c r="M13" s="5"/>
      <c r="N13" s="5"/>
      <c r="O13" s="5"/>
      <c r="P13" s="5"/>
      <c r="Q13" s="5"/>
      <c r="R13" s="5"/>
      <c r="S13" s="5"/>
      <c r="T13" s="5"/>
      <c r="U13" s="5"/>
      <c r="V13" s="5"/>
      <c r="W13" s="5"/>
      <c r="X13" s="5"/>
      <c r="Y13" s="5"/>
      <c r="Z13" s="5"/>
    </row>
    <row r="14">
      <c r="A14" s="38" t="s">
        <v>1417</v>
      </c>
      <c r="B14" s="39" t="s">
        <v>1418</v>
      </c>
      <c r="C14" s="45" t="s">
        <v>53</v>
      </c>
      <c r="D14" s="41" t="s">
        <v>41</v>
      </c>
      <c r="E14" s="39" t="s">
        <v>1419</v>
      </c>
      <c r="F14" s="39" t="s">
        <v>1420</v>
      </c>
      <c r="G14" s="39" t="s">
        <v>1421</v>
      </c>
      <c r="H14" s="41" t="s">
        <v>45</v>
      </c>
      <c r="I14" s="39"/>
      <c r="J14" s="5"/>
      <c r="K14" s="5"/>
      <c r="L14" s="5"/>
      <c r="M14" s="5"/>
      <c r="N14" s="5"/>
      <c r="O14" s="5"/>
      <c r="P14" s="5"/>
      <c r="Q14" s="5"/>
      <c r="R14" s="5"/>
      <c r="S14" s="5"/>
      <c r="T14" s="5"/>
      <c r="U14" s="5"/>
      <c r="V14" s="5"/>
      <c r="W14" s="5"/>
      <c r="X14" s="5"/>
      <c r="Y14" s="5"/>
      <c r="Z14" s="5"/>
    </row>
    <row r="15">
      <c r="A15" s="42" t="s">
        <v>1422</v>
      </c>
      <c r="B15" s="43" t="s">
        <v>1423</v>
      </c>
      <c r="C15" s="45" t="s">
        <v>53</v>
      </c>
      <c r="D15" s="44" t="s">
        <v>360</v>
      </c>
      <c r="E15" s="43" t="s">
        <v>1424</v>
      </c>
      <c r="F15" s="43" t="s">
        <v>1425</v>
      </c>
      <c r="G15" s="52" t="s">
        <v>1426</v>
      </c>
      <c r="H15" s="44" t="s">
        <v>45</v>
      </c>
      <c r="I15" s="43"/>
      <c r="J15" s="5"/>
      <c r="K15" s="5"/>
      <c r="L15" s="5"/>
      <c r="M15" s="5"/>
      <c r="N15" s="5"/>
      <c r="O15" s="5"/>
      <c r="P15" s="5"/>
      <c r="Q15" s="5"/>
      <c r="R15" s="5"/>
      <c r="S15" s="5"/>
      <c r="T15" s="5"/>
      <c r="U15" s="5"/>
      <c r="V15" s="5"/>
      <c r="W15" s="5"/>
      <c r="X15" s="5"/>
      <c r="Y15" s="5"/>
      <c r="Z15" s="5"/>
    </row>
    <row r="16">
      <c r="A16" s="38" t="s">
        <v>1427</v>
      </c>
      <c r="B16" s="39" t="s">
        <v>1428</v>
      </c>
      <c r="C16" s="45" t="s">
        <v>53</v>
      </c>
      <c r="D16" s="41" t="s">
        <v>41</v>
      </c>
      <c r="E16" s="39" t="s">
        <v>1429</v>
      </c>
      <c r="F16" s="39" t="s">
        <v>1430</v>
      </c>
      <c r="G16" s="53" t="s">
        <v>1431</v>
      </c>
      <c r="H16" s="41" t="s">
        <v>45</v>
      </c>
      <c r="I16" s="39"/>
      <c r="J16" s="5"/>
      <c r="K16" s="5"/>
      <c r="L16" s="5"/>
      <c r="M16" s="5"/>
      <c r="N16" s="5"/>
      <c r="O16" s="5"/>
      <c r="P16" s="5"/>
      <c r="Q16" s="5"/>
      <c r="R16" s="5"/>
      <c r="S16" s="5"/>
      <c r="T16" s="5"/>
      <c r="U16" s="5"/>
      <c r="V16" s="5"/>
      <c r="W16" s="5"/>
      <c r="X16" s="5"/>
      <c r="Y16" s="5"/>
      <c r="Z16" s="5"/>
    </row>
    <row r="17">
      <c r="A17" s="42" t="s">
        <v>1432</v>
      </c>
      <c r="B17" s="51" t="s">
        <v>1433</v>
      </c>
      <c r="C17" s="64" t="s">
        <v>40</v>
      </c>
      <c r="D17" s="65" t="s">
        <v>41</v>
      </c>
      <c r="E17" s="66" t="s">
        <v>1434</v>
      </c>
      <c r="F17" s="51" t="s">
        <v>1435</v>
      </c>
      <c r="G17" s="66" t="s">
        <v>1436</v>
      </c>
      <c r="H17" s="65" t="s">
        <v>45</v>
      </c>
      <c r="I17" s="51" t="s">
        <v>1437</v>
      </c>
      <c r="J17" s="5"/>
      <c r="K17" s="5"/>
      <c r="L17" s="5"/>
      <c r="M17" s="5"/>
      <c r="N17" s="5"/>
      <c r="O17" s="5"/>
      <c r="P17" s="5"/>
      <c r="Q17" s="5"/>
      <c r="R17" s="5"/>
      <c r="S17" s="5"/>
      <c r="T17" s="5"/>
      <c r="U17" s="5"/>
      <c r="V17" s="5"/>
      <c r="W17" s="5"/>
      <c r="X17" s="5"/>
      <c r="Y17" s="5"/>
      <c r="Z17" s="5"/>
    </row>
    <row r="18">
      <c r="A18" s="38" t="s">
        <v>1438</v>
      </c>
      <c r="B18" s="50" t="s">
        <v>1439</v>
      </c>
      <c r="C18" s="67" t="s">
        <v>53</v>
      </c>
      <c r="D18" s="68" t="s">
        <v>41</v>
      </c>
      <c r="E18" s="69" t="s">
        <v>1440</v>
      </c>
      <c r="F18" s="50" t="s">
        <v>1441</v>
      </c>
      <c r="G18" s="69" t="s">
        <v>1442</v>
      </c>
      <c r="H18" s="68" t="s">
        <v>45</v>
      </c>
      <c r="I18" s="69" t="s">
        <v>1443</v>
      </c>
      <c r="J18" s="5"/>
      <c r="K18" s="5"/>
      <c r="L18" s="5"/>
      <c r="M18" s="5"/>
      <c r="N18" s="5"/>
      <c r="O18" s="5"/>
      <c r="P18" s="5"/>
      <c r="Q18" s="5"/>
      <c r="R18" s="5"/>
      <c r="S18" s="5"/>
      <c r="T18" s="5"/>
      <c r="U18" s="5"/>
      <c r="V18" s="5"/>
      <c r="W18" s="5"/>
      <c r="X18" s="5"/>
      <c r="Y18" s="5"/>
      <c r="Z18" s="5"/>
    </row>
    <row r="19">
      <c r="A19" s="42" t="s">
        <v>1444</v>
      </c>
      <c r="B19" s="43" t="s">
        <v>1445</v>
      </c>
      <c r="C19" s="40" t="s">
        <v>40</v>
      </c>
      <c r="D19" s="44" t="s">
        <v>41</v>
      </c>
      <c r="E19" s="43" t="s">
        <v>1446</v>
      </c>
      <c r="F19" s="43" t="s">
        <v>1447</v>
      </c>
      <c r="G19" s="43" t="s">
        <v>1448</v>
      </c>
      <c r="H19" s="44" t="s">
        <v>45</v>
      </c>
      <c r="I19" s="43" t="s">
        <v>1449</v>
      </c>
      <c r="J19" s="5"/>
      <c r="K19" s="5"/>
      <c r="L19" s="5"/>
      <c r="M19" s="5"/>
      <c r="N19" s="5"/>
      <c r="O19" s="5"/>
      <c r="P19" s="5"/>
      <c r="Q19" s="5"/>
      <c r="R19" s="5"/>
      <c r="S19" s="5"/>
      <c r="T19" s="5"/>
      <c r="U19" s="5"/>
      <c r="V19" s="5"/>
      <c r="W19" s="5"/>
      <c r="X19" s="5"/>
      <c r="Y19" s="5"/>
      <c r="Z19" s="5"/>
    </row>
    <row r="20">
      <c r="A20" s="38" t="s">
        <v>1450</v>
      </c>
      <c r="B20" s="39" t="s">
        <v>1451</v>
      </c>
      <c r="C20" s="45" t="s">
        <v>53</v>
      </c>
      <c r="D20" s="41" t="s">
        <v>41</v>
      </c>
      <c r="E20" s="39" t="s">
        <v>1452</v>
      </c>
      <c r="F20" s="39" t="s">
        <v>1453</v>
      </c>
      <c r="G20" s="53" t="s">
        <v>1454</v>
      </c>
      <c r="H20" s="41" t="s">
        <v>45</v>
      </c>
      <c r="I20" s="53" t="s">
        <v>1455</v>
      </c>
      <c r="J20" s="5"/>
      <c r="K20" s="5"/>
      <c r="L20" s="5"/>
      <c r="M20" s="5"/>
      <c r="N20" s="5"/>
      <c r="O20" s="5"/>
      <c r="P20" s="5"/>
      <c r="Q20" s="5"/>
      <c r="R20" s="5"/>
      <c r="S20" s="5"/>
      <c r="T20" s="5"/>
      <c r="U20" s="5"/>
      <c r="V20" s="5"/>
      <c r="W20" s="5"/>
      <c r="X20" s="5"/>
      <c r="Y20" s="5"/>
      <c r="Z20" s="5"/>
    </row>
    <row r="21" ht="15.75" customHeight="1">
      <c r="A21" s="42" t="s">
        <v>1456</v>
      </c>
      <c r="B21" s="43" t="s">
        <v>1457</v>
      </c>
      <c r="C21" s="40" t="s">
        <v>40</v>
      </c>
      <c r="D21" s="44" t="s">
        <v>41</v>
      </c>
      <c r="E21" s="43" t="s">
        <v>1458</v>
      </c>
      <c r="F21" s="52" t="s">
        <v>1459</v>
      </c>
      <c r="G21" s="52" t="s">
        <v>1460</v>
      </c>
      <c r="H21" s="44" t="s">
        <v>45</v>
      </c>
      <c r="I21" s="43" t="s">
        <v>1461</v>
      </c>
      <c r="J21" s="5"/>
      <c r="K21" s="5"/>
      <c r="L21" s="5"/>
      <c r="M21" s="5"/>
      <c r="N21" s="5"/>
      <c r="O21" s="5"/>
      <c r="P21" s="5"/>
      <c r="Q21" s="5"/>
      <c r="R21" s="5"/>
      <c r="S21" s="5"/>
      <c r="T21" s="5"/>
      <c r="U21" s="5"/>
      <c r="V21" s="5"/>
      <c r="W21" s="5"/>
      <c r="X21" s="5"/>
      <c r="Y21" s="5"/>
      <c r="Z21" s="5"/>
    </row>
    <row r="22" ht="15.75" customHeight="1">
      <c r="A22" s="38" t="s">
        <v>1462</v>
      </c>
      <c r="B22" s="39" t="s">
        <v>1463</v>
      </c>
      <c r="C22" s="40" t="s">
        <v>40</v>
      </c>
      <c r="D22" s="41" t="s">
        <v>360</v>
      </c>
      <c r="E22" s="39" t="s">
        <v>1464</v>
      </c>
      <c r="F22" s="39" t="s">
        <v>1465</v>
      </c>
      <c r="G22" s="39" t="s">
        <v>1466</v>
      </c>
      <c r="H22" s="41" t="s">
        <v>45</v>
      </c>
      <c r="I22" s="39"/>
      <c r="J22" s="5"/>
      <c r="K22" s="5"/>
      <c r="L22" s="5"/>
      <c r="M22" s="5"/>
      <c r="N22" s="5"/>
      <c r="O22" s="5"/>
      <c r="P22" s="5"/>
      <c r="Q22" s="5"/>
      <c r="R22" s="5"/>
      <c r="S22" s="5"/>
      <c r="T22" s="5"/>
      <c r="U22" s="5"/>
      <c r="V22" s="5"/>
      <c r="W22" s="5"/>
      <c r="X22" s="5"/>
      <c r="Y22" s="5"/>
      <c r="Z22" s="5"/>
    </row>
    <row r="23" ht="15.75" customHeight="1">
      <c r="A23" s="42" t="s">
        <v>1467</v>
      </c>
      <c r="B23" s="43" t="s">
        <v>1468</v>
      </c>
      <c r="C23" s="40" t="s">
        <v>40</v>
      </c>
      <c r="D23" s="44" t="s">
        <v>41</v>
      </c>
      <c r="E23" s="43" t="s">
        <v>1469</v>
      </c>
      <c r="F23" s="52" t="s">
        <v>1470</v>
      </c>
      <c r="G23" s="52" t="s">
        <v>1471</v>
      </c>
      <c r="H23" s="44" t="s">
        <v>45</v>
      </c>
      <c r="I23" s="43" t="s">
        <v>1472</v>
      </c>
      <c r="J23" s="5"/>
      <c r="K23" s="5"/>
      <c r="L23" s="5"/>
      <c r="M23" s="5"/>
      <c r="N23" s="5"/>
      <c r="O23" s="5"/>
      <c r="P23" s="5"/>
      <c r="Q23" s="5"/>
      <c r="R23" s="5"/>
      <c r="S23" s="5"/>
      <c r="T23" s="5"/>
      <c r="U23" s="5"/>
      <c r="V23" s="5"/>
      <c r="W23" s="5"/>
      <c r="X23" s="5"/>
      <c r="Y23" s="5"/>
      <c r="Z23" s="5"/>
    </row>
    <row r="24" ht="15.75" customHeight="1">
      <c r="A24" s="38" t="s">
        <v>1473</v>
      </c>
      <c r="B24" s="39" t="s">
        <v>1474</v>
      </c>
      <c r="C24" s="40" t="s">
        <v>40</v>
      </c>
      <c r="D24" s="41" t="s">
        <v>360</v>
      </c>
      <c r="E24" s="39" t="s">
        <v>1475</v>
      </c>
      <c r="F24" s="39" t="s">
        <v>1476</v>
      </c>
      <c r="G24" s="39" t="s">
        <v>1477</v>
      </c>
      <c r="H24" s="41" t="s">
        <v>45</v>
      </c>
      <c r="I24" s="39"/>
      <c r="J24" s="5"/>
      <c r="K24" s="5"/>
      <c r="L24" s="5"/>
      <c r="M24" s="5"/>
      <c r="N24" s="5"/>
      <c r="O24" s="5"/>
      <c r="P24" s="5"/>
      <c r="Q24" s="5"/>
      <c r="R24" s="5"/>
      <c r="S24" s="5"/>
      <c r="T24" s="5"/>
      <c r="U24" s="5"/>
      <c r="V24" s="5"/>
      <c r="W24" s="5"/>
      <c r="X24" s="5"/>
      <c r="Y24" s="5"/>
      <c r="Z24" s="5"/>
    </row>
    <row r="25" ht="15.75" customHeight="1">
      <c r="A25" s="42" t="s">
        <v>1478</v>
      </c>
      <c r="B25" s="52" t="s">
        <v>1479</v>
      </c>
      <c r="C25" s="40" t="s">
        <v>40</v>
      </c>
      <c r="D25" s="44" t="s">
        <v>41</v>
      </c>
      <c r="E25" s="52" t="s">
        <v>1480</v>
      </c>
      <c r="F25" s="52" t="s">
        <v>1481</v>
      </c>
      <c r="G25" s="52" t="s">
        <v>1482</v>
      </c>
      <c r="H25" s="44" t="s">
        <v>45</v>
      </c>
      <c r="I25" s="43"/>
      <c r="J25" s="5"/>
      <c r="K25" s="5"/>
      <c r="L25" s="5"/>
      <c r="M25" s="5"/>
      <c r="N25" s="5"/>
      <c r="O25" s="5"/>
      <c r="P25" s="5"/>
      <c r="Q25" s="5"/>
      <c r="R25" s="5"/>
      <c r="S25" s="5"/>
      <c r="T25" s="5"/>
      <c r="U25" s="5"/>
      <c r="V25" s="5"/>
      <c r="W25" s="5"/>
      <c r="X25" s="5"/>
      <c r="Y25" s="5"/>
      <c r="Z25" s="5"/>
    </row>
    <row r="26" ht="15.75" customHeight="1">
      <c r="A26" s="38" t="s">
        <v>1483</v>
      </c>
      <c r="B26" s="39" t="s">
        <v>1484</v>
      </c>
      <c r="C26" s="40" t="s">
        <v>40</v>
      </c>
      <c r="D26" s="41" t="s">
        <v>41</v>
      </c>
      <c r="E26" s="39" t="s">
        <v>1485</v>
      </c>
      <c r="F26" s="39" t="s">
        <v>1486</v>
      </c>
      <c r="G26" s="39" t="s">
        <v>1487</v>
      </c>
      <c r="H26" s="41" t="s">
        <v>45</v>
      </c>
      <c r="I26" s="39"/>
      <c r="J26" s="5"/>
      <c r="K26" s="5"/>
      <c r="L26" s="5"/>
      <c r="M26" s="5"/>
      <c r="N26" s="5"/>
      <c r="O26" s="5"/>
      <c r="P26" s="5"/>
      <c r="Q26" s="5"/>
      <c r="R26" s="5"/>
      <c r="S26" s="5"/>
      <c r="T26" s="5"/>
      <c r="U26" s="5"/>
      <c r="V26" s="5"/>
      <c r="W26" s="5"/>
      <c r="X26" s="5"/>
      <c r="Y26" s="5"/>
      <c r="Z26" s="5"/>
    </row>
    <row r="27" ht="15.75" customHeight="1">
      <c r="A27" s="42" t="s">
        <v>1488</v>
      </c>
      <c r="B27" s="43" t="s">
        <v>1489</v>
      </c>
      <c r="C27" s="40" t="s">
        <v>40</v>
      </c>
      <c r="D27" s="44" t="s">
        <v>41</v>
      </c>
      <c r="E27" s="52" t="s">
        <v>1490</v>
      </c>
      <c r="F27" s="43" t="s">
        <v>1491</v>
      </c>
      <c r="G27" s="52" t="s">
        <v>1492</v>
      </c>
      <c r="H27" s="44" t="s">
        <v>45</v>
      </c>
      <c r="I27" s="43" t="s">
        <v>1493</v>
      </c>
      <c r="J27" s="5"/>
      <c r="K27" s="5"/>
      <c r="L27" s="5"/>
      <c r="M27" s="5"/>
      <c r="N27" s="5"/>
      <c r="O27" s="5"/>
      <c r="P27" s="5"/>
      <c r="Q27" s="5"/>
      <c r="R27" s="5"/>
      <c r="S27" s="5"/>
      <c r="T27" s="5"/>
      <c r="U27" s="5"/>
      <c r="V27" s="5"/>
      <c r="W27" s="5"/>
      <c r="X27" s="5"/>
      <c r="Y27" s="5"/>
      <c r="Z27" s="5"/>
    </row>
    <row r="28" ht="15.75" customHeight="1">
      <c r="A28" s="38" t="s">
        <v>1494</v>
      </c>
      <c r="B28" s="53" t="s">
        <v>1495</v>
      </c>
      <c r="C28" s="40" t="s">
        <v>40</v>
      </c>
      <c r="D28" s="41" t="s">
        <v>41</v>
      </c>
      <c r="E28" s="53" t="s">
        <v>1496</v>
      </c>
      <c r="F28" s="39" t="s">
        <v>1497</v>
      </c>
      <c r="G28" s="53" t="s">
        <v>1498</v>
      </c>
      <c r="H28" s="41" t="s">
        <v>45</v>
      </c>
      <c r="I28" s="53"/>
      <c r="J28" s="5"/>
      <c r="K28" s="5"/>
      <c r="L28" s="5"/>
      <c r="M28" s="5"/>
      <c r="N28" s="5"/>
      <c r="O28" s="5"/>
      <c r="P28" s="5"/>
      <c r="Q28" s="5"/>
      <c r="R28" s="5"/>
      <c r="S28" s="5"/>
      <c r="T28" s="5"/>
      <c r="U28" s="5"/>
      <c r="V28" s="5"/>
      <c r="W28" s="5"/>
      <c r="X28" s="5"/>
      <c r="Y28" s="5"/>
      <c r="Z28" s="5"/>
    </row>
    <row r="29" ht="15.75" customHeight="1">
      <c r="A29" s="42" t="s">
        <v>1499</v>
      </c>
      <c r="B29" s="43" t="s">
        <v>1500</v>
      </c>
      <c r="C29" s="40" t="s">
        <v>40</v>
      </c>
      <c r="D29" s="44" t="s">
        <v>41</v>
      </c>
      <c r="E29" s="43" t="s">
        <v>1501</v>
      </c>
      <c r="F29" s="43" t="s">
        <v>1502</v>
      </c>
      <c r="G29" s="52" t="s">
        <v>1503</v>
      </c>
      <c r="H29" s="44" t="s">
        <v>45</v>
      </c>
      <c r="I29" s="43" t="s">
        <v>1504</v>
      </c>
      <c r="J29" s="5"/>
      <c r="K29" s="5"/>
      <c r="L29" s="5"/>
      <c r="M29" s="5"/>
      <c r="N29" s="5"/>
      <c r="O29" s="5"/>
      <c r="P29" s="5"/>
      <c r="Q29" s="5"/>
      <c r="R29" s="5"/>
      <c r="S29" s="5"/>
      <c r="T29" s="5"/>
      <c r="U29" s="5"/>
      <c r="V29" s="5"/>
      <c r="W29" s="5"/>
      <c r="X29" s="5"/>
      <c r="Y29" s="5"/>
      <c r="Z29" s="5"/>
    </row>
    <row r="30" ht="15.75" customHeight="1">
      <c r="A30" s="38" t="s">
        <v>1505</v>
      </c>
      <c r="B30" s="39" t="s">
        <v>1506</v>
      </c>
      <c r="C30" s="40" t="s">
        <v>40</v>
      </c>
      <c r="D30" s="41" t="s">
        <v>41</v>
      </c>
      <c r="E30" s="39" t="s">
        <v>1507</v>
      </c>
      <c r="F30" s="39" t="s">
        <v>1508</v>
      </c>
      <c r="G30" s="39" t="s">
        <v>1509</v>
      </c>
      <c r="H30" s="41" t="s">
        <v>45</v>
      </c>
      <c r="I30" s="39" t="s">
        <v>1510</v>
      </c>
      <c r="J30" s="5"/>
      <c r="K30" s="5"/>
      <c r="L30" s="5"/>
      <c r="M30" s="5"/>
      <c r="N30" s="5"/>
      <c r="O30" s="5"/>
      <c r="P30" s="5"/>
      <c r="Q30" s="5"/>
      <c r="R30" s="5"/>
      <c r="S30" s="5"/>
      <c r="T30" s="5"/>
      <c r="U30" s="5"/>
      <c r="V30" s="5"/>
      <c r="W30" s="5"/>
      <c r="X30" s="5"/>
      <c r="Y30" s="5"/>
      <c r="Z30" s="5"/>
    </row>
    <row r="31">
      <c r="A31" s="38" t="s">
        <v>1511</v>
      </c>
      <c r="B31" s="39" t="s">
        <v>1512</v>
      </c>
      <c r="C31" s="40" t="s">
        <v>53</v>
      </c>
      <c r="D31" s="41" t="s">
        <v>41</v>
      </c>
      <c r="E31" s="53" t="s">
        <v>1513</v>
      </c>
      <c r="F31" s="53" t="s">
        <v>1514</v>
      </c>
      <c r="G31" s="53" t="s">
        <v>1515</v>
      </c>
      <c r="H31" s="41" t="s">
        <v>45</v>
      </c>
      <c r="I31" s="39" t="s">
        <v>1516</v>
      </c>
      <c r="J31" s="5"/>
      <c r="K31" s="5"/>
      <c r="L31" s="5"/>
      <c r="M31" s="5"/>
      <c r="N31" s="5"/>
      <c r="O31" s="5"/>
      <c r="P31" s="5"/>
      <c r="Q31" s="5"/>
      <c r="R31" s="5"/>
      <c r="S31" s="5"/>
      <c r="T31" s="5"/>
      <c r="U31" s="5"/>
      <c r="V31" s="5"/>
      <c r="W31" s="5"/>
      <c r="X31" s="5"/>
      <c r="Y31" s="5"/>
      <c r="Z31" s="5"/>
    </row>
    <row r="32">
      <c r="A32" s="42" t="s">
        <v>1517</v>
      </c>
      <c r="B32" s="43" t="s">
        <v>1518</v>
      </c>
      <c r="C32" s="45" t="s">
        <v>53</v>
      </c>
      <c r="D32" s="44" t="s">
        <v>41</v>
      </c>
      <c r="E32" s="52" t="s">
        <v>1519</v>
      </c>
      <c r="F32" s="52" t="s">
        <v>1520</v>
      </c>
      <c r="G32" s="52" t="s">
        <v>1521</v>
      </c>
      <c r="H32" s="44" t="s">
        <v>45</v>
      </c>
      <c r="I32" s="43" t="s">
        <v>1522</v>
      </c>
      <c r="J32" s="5"/>
      <c r="K32" s="5"/>
      <c r="L32" s="5"/>
      <c r="M32" s="5"/>
      <c r="N32" s="5"/>
      <c r="O32" s="5"/>
      <c r="P32" s="5"/>
      <c r="Q32" s="5"/>
      <c r="R32" s="5"/>
      <c r="S32" s="5"/>
      <c r="T32" s="5"/>
      <c r="U32" s="5"/>
      <c r="V32" s="5"/>
      <c r="W32" s="5"/>
      <c r="X32" s="5"/>
      <c r="Y32" s="5"/>
      <c r="Z32" s="5"/>
    </row>
    <row r="33">
      <c r="A33" s="38" t="s">
        <v>1523</v>
      </c>
      <c r="B33" s="39" t="s">
        <v>1524</v>
      </c>
      <c r="C33" s="40" t="s">
        <v>40</v>
      </c>
      <c r="D33" s="41" t="s">
        <v>41</v>
      </c>
      <c r="E33" s="39" t="s">
        <v>1525</v>
      </c>
      <c r="F33" s="39" t="s">
        <v>1526</v>
      </c>
      <c r="G33" s="39" t="s">
        <v>1527</v>
      </c>
      <c r="H33" s="41" t="s">
        <v>45</v>
      </c>
      <c r="I33" s="39"/>
      <c r="J33" s="5"/>
      <c r="K33" s="5"/>
      <c r="L33" s="5"/>
      <c r="M33" s="5"/>
      <c r="N33" s="5"/>
      <c r="O33" s="5"/>
      <c r="P33" s="5"/>
      <c r="Q33" s="5"/>
      <c r="R33" s="5"/>
      <c r="S33" s="5"/>
      <c r="T33" s="5"/>
      <c r="U33" s="5"/>
      <c r="V33" s="5"/>
      <c r="W33" s="5"/>
      <c r="X33" s="5"/>
      <c r="Y33" s="5"/>
      <c r="Z33" s="5"/>
    </row>
    <row r="34">
      <c r="A34" s="42" t="s">
        <v>1528</v>
      </c>
      <c r="B34" s="43" t="s">
        <v>1529</v>
      </c>
      <c r="C34" s="40" t="s">
        <v>40</v>
      </c>
      <c r="D34" s="44" t="s">
        <v>41</v>
      </c>
      <c r="E34" s="43" t="s">
        <v>1530</v>
      </c>
      <c r="F34" s="43" t="s">
        <v>1531</v>
      </c>
      <c r="G34" s="52" t="s">
        <v>1532</v>
      </c>
      <c r="H34" s="44" t="s">
        <v>45</v>
      </c>
      <c r="I34" s="43"/>
      <c r="J34" s="5"/>
      <c r="K34" s="5"/>
      <c r="L34" s="5"/>
      <c r="M34" s="5"/>
      <c r="N34" s="5"/>
      <c r="O34" s="5"/>
      <c r="P34" s="5"/>
      <c r="Q34" s="5"/>
      <c r="R34" s="5"/>
      <c r="S34" s="5"/>
      <c r="T34" s="5"/>
      <c r="U34" s="5"/>
      <c r="V34" s="5"/>
      <c r="W34" s="5"/>
      <c r="X34" s="5"/>
      <c r="Y34" s="5"/>
      <c r="Z34" s="5"/>
    </row>
    <row r="35">
      <c r="A35" s="38" t="s">
        <v>1533</v>
      </c>
      <c r="B35" s="39" t="s">
        <v>1534</v>
      </c>
      <c r="C35" s="40" t="s">
        <v>40</v>
      </c>
      <c r="D35" s="41" t="s">
        <v>41</v>
      </c>
      <c r="E35" s="39" t="s">
        <v>1535</v>
      </c>
      <c r="F35" s="39" t="s">
        <v>1536</v>
      </c>
      <c r="G35" s="39" t="s">
        <v>1537</v>
      </c>
      <c r="H35" s="41" t="s">
        <v>45</v>
      </c>
      <c r="I35" s="39" t="s">
        <v>1538</v>
      </c>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sheetData>
  <mergeCells count="2">
    <mergeCell ref="A1:I1"/>
    <mergeCell ref="A2:I2"/>
  </mergeCells>
  <conditionalFormatting sqref="A5:I16">
    <cfRule type="expression" dxfId="2" priority="1">
      <formula>$H5="Pass"</formula>
    </cfRule>
  </conditionalFormatting>
  <conditionalFormatting sqref="A5:I16">
    <cfRule type="expression" dxfId="1" priority="2">
      <formula>$H5="Fail"</formula>
    </cfRule>
  </conditionalFormatting>
  <conditionalFormatting sqref="A5:I16">
    <cfRule type="expression" dxfId="0" priority="3">
      <formula>$H5="Blocked"</formula>
    </cfRule>
  </conditionalFormatting>
  <conditionalFormatting sqref="A5:I26 C32">
    <cfRule type="expression" dxfId="2" priority="4">
      <formula>$H5="Pass"</formula>
    </cfRule>
  </conditionalFormatting>
  <conditionalFormatting sqref="A5:I26 C32">
    <cfRule type="expression" dxfId="1" priority="5">
      <formula>$H5="Fail"</formula>
    </cfRule>
  </conditionalFormatting>
  <conditionalFormatting sqref="A5:I26 C32">
    <cfRule type="expression" dxfId="0" priority="6">
      <formula>$H5="Blocked"</formula>
    </cfRule>
  </conditionalFormatting>
  <conditionalFormatting sqref="A5:I28 C32">
    <cfRule type="expression" dxfId="2" priority="7">
      <formula>$H5="Pass"</formula>
    </cfRule>
  </conditionalFormatting>
  <conditionalFormatting sqref="A5:I28 C32">
    <cfRule type="expression" dxfId="1" priority="8">
      <formula>$H5="Fail"</formula>
    </cfRule>
  </conditionalFormatting>
  <conditionalFormatting sqref="A5:I28 C32">
    <cfRule type="expression" dxfId="0" priority="9">
      <formula>$H5="Blocked"</formula>
    </cfRule>
  </conditionalFormatting>
  <conditionalFormatting sqref="A5:I35">
    <cfRule type="expression" dxfId="2" priority="10">
      <formula>$H5="Pass"</formula>
    </cfRule>
  </conditionalFormatting>
  <conditionalFormatting sqref="A5:I35">
    <cfRule type="expression" dxfId="1" priority="11">
      <formula>$H5="Fail"</formula>
    </cfRule>
  </conditionalFormatting>
  <conditionalFormatting sqref="A5:I35">
    <cfRule type="expression" dxfId="0" priority="12">
      <formula>$H5="Blocked"</formula>
    </cfRule>
  </conditionalFormatting>
  <dataValidations>
    <dataValidation type="list" allowBlank="1" sqref="H5:H30">
      <formula1>"Pass,Fail,Blocked,Not Run"</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32.0"/>
    <col customWidth="1" min="3" max="3" width="10.0"/>
    <col customWidth="1" min="4" max="4" width="13.0"/>
    <col customWidth="1" min="5" max="5" width="30.0"/>
    <col customWidth="1" min="6" max="7" width="42.0"/>
    <col customWidth="1" min="8" max="8" width="12.0"/>
    <col customWidth="1" min="9" max="9" width="30.0"/>
  </cols>
  <sheetData>
    <row r="1" ht="31.5" customHeight="1">
      <c r="A1" s="35" t="s">
        <v>1539</v>
      </c>
      <c r="B1" s="3"/>
      <c r="C1" s="3"/>
      <c r="D1" s="3"/>
      <c r="E1" s="3"/>
      <c r="F1" s="3"/>
      <c r="G1" s="3"/>
      <c r="H1" s="3"/>
      <c r="I1" s="4"/>
      <c r="J1" s="5"/>
      <c r="K1" s="5"/>
      <c r="L1" s="5"/>
      <c r="M1" s="5"/>
      <c r="N1" s="5"/>
      <c r="O1" s="5"/>
      <c r="P1" s="5"/>
      <c r="Q1" s="5"/>
      <c r="R1" s="5"/>
      <c r="S1" s="5"/>
      <c r="T1" s="5"/>
      <c r="U1" s="5"/>
      <c r="V1" s="5"/>
      <c r="W1" s="5"/>
      <c r="X1" s="5"/>
      <c r="Y1" s="5"/>
      <c r="Z1" s="5"/>
    </row>
    <row r="2" ht="15.75" customHeight="1">
      <c r="A2" s="36" t="s">
        <v>1540</v>
      </c>
      <c r="B2" s="3"/>
      <c r="C2" s="3"/>
      <c r="D2" s="3"/>
      <c r="E2" s="3"/>
      <c r="F2" s="3"/>
      <c r="G2" s="3"/>
      <c r="H2" s="3"/>
      <c r="I2" s="4"/>
      <c r="J2" s="5"/>
      <c r="K2" s="5"/>
      <c r="L2" s="5"/>
      <c r="M2" s="5"/>
      <c r="N2" s="5"/>
      <c r="O2" s="5"/>
      <c r="P2" s="5"/>
      <c r="Q2" s="5"/>
      <c r="R2" s="5"/>
      <c r="S2" s="5"/>
      <c r="T2" s="5"/>
      <c r="U2" s="5"/>
      <c r="V2" s="5"/>
      <c r="W2" s="5"/>
      <c r="X2" s="5"/>
      <c r="Y2" s="5"/>
      <c r="Z2" s="5"/>
    </row>
    <row r="3" ht="7.5" customHeight="1">
      <c r="A3" s="5"/>
      <c r="B3" s="5"/>
      <c r="C3" s="5"/>
      <c r="D3" s="5"/>
      <c r="E3" s="5"/>
      <c r="F3" s="5"/>
      <c r="G3" s="5"/>
      <c r="H3" s="5"/>
      <c r="I3" s="5"/>
      <c r="J3" s="5"/>
      <c r="K3" s="5"/>
      <c r="L3" s="5"/>
      <c r="M3" s="5"/>
      <c r="N3" s="5"/>
      <c r="O3" s="5"/>
      <c r="P3" s="5"/>
      <c r="Q3" s="5"/>
      <c r="R3" s="5"/>
      <c r="S3" s="5"/>
      <c r="T3" s="5"/>
      <c r="U3" s="5"/>
      <c r="V3" s="5"/>
      <c r="W3" s="5"/>
      <c r="X3" s="5"/>
      <c r="Y3" s="5"/>
      <c r="Z3" s="5"/>
    </row>
    <row r="4" ht="21.75" customHeight="1">
      <c r="A4" s="37" t="s">
        <v>29</v>
      </c>
      <c r="B4" s="37" t="s">
        <v>30</v>
      </c>
      <c r="C4" s="37" t="s">
        <v>31</v>
      </c>
      <c r="D4" s="37" t="s">
        <v>32</v>
      </c>
      <c r="E4" s="37" t="s">
        <v>33</v>
      </c>
      <c r="F4" s="37" t="s">
        <v>34</v>
      </c>
      <c r="G4" s="37" t="s">
        <v>35</v>
      </c>
      <c r="H4" s="37" t="s">
        <v>36</v>
      </c>
      <c r="I4" s="37" t="s">
        <v>37</v>
      </c>
      <c r="J4" s="5"/>
      <c r="K4" s="5"/>
      <c r="L4" s="5"/>
      <c r="M4" s="5"/>
      <c r="N4" s="5"/>
      <c r="O4" s="5"/>
      <c r="P4" s="5"/>
      <c r="Q4" s="5"/>
      <c r="R4" s="5"/>
      <c r="S4" s="5"/>
      <c r="T4" s="5"/>
      <c r="U4" s="5"/>
      <c r="V4" s="5"/>
      <c r="W4" s="5"/>
      <c r="X4" s="5"/>
      <c r="Y4" s="5"/>
      <c r="Z4" s="5"/>
    </row>
    <row r="5">
      <c r="A5" s="38" t="s">
        <v>1541</v>
      </c>
      <c r="B5" s="39" t="s">
        <v>1542</v>
      </c>
      <c r="C5" s="40" t="s">
        <v>40</v>
      </c>
      <c r="D5" s="41" t="s">
        <v>1543</v>
      </c>
      <c r="E5" s="39" t="s">
        <v>1544</v>
      </c>
      <c r="F5" s="39" t="s">
        <v>1545</v>
      </c>
      <c r="G5" s="39" t="s">
        <v>1546</v>
      </c>
      <c r="H5" s="41" t="s">
        <v>45</v>
      </c>
      <c r="I5" s="39"/>
      <c r="J5" s="5"/>
      <c r="K5" s="5"/>
      <c r="L5" s="5"/>
      <c r="M5" s="5"/>
      <c r="N5" s="5"/>
      <c r="O5" s="5"/>
      <c r="P5" s="5"/>
      <c r="Q5" s="5"/>
      <c r="R5" s="5"/>
      <c r="S5" s="5"/>
      <c r="T5" s="5"/>
      <c r="U5" s="5"/>
      <c r="V5" s="5"/>
      <c r="W5" s="5"/>
      <c r="X5" s="5"/>
      <c r="Y5" s="5"/>
      <c r="Z5" s="5"/>
    </row>
    <row r="6">
      <c r="A6" s="42" t="s">
        <v>1547</v>
      </c>
      <c r="B6" s="43" t="s">
        <v>1548</v>
      </c>
      <c r="C6" s="40" t="s">
        <v>40</v>
      </c>
      <c r="D6" s="44" t="s">
        <v>755</v>
      </c>
      <c r="E6" s="43" t="s">
        <v>1549</v>
      </c>
      <c r="F6" s="43" t="s">
        <v>1550</v>
      </c>
      <c r="G6" s="43" t="s">
        <v>1551</v>
      </c>
      <c r="H6" s="44" t="s">
        <v>45</v>
      </c>
      <c r="I6" s="43"/>
      <c r="J6" s="5"/>
      <c r="K6" s="5"/>
      <c r="L6" s="5"/>
      <c r="M6" s="5"/>
      <c r="N6" s="5"/>
      <c r="O6" s="5"/>
      <c r="P6" s="5"/>
      <c r="Q6" s="5"/>
      <c r="R6" s="5"/>
      <c r="S6" s="5"/>
      <c r="T6" s="5"/>
      <c r="U6" s="5"/>
      <c r="V6" s="5"/>
      <c r="W6" s="5"/>
      <c r="X6" s="5"/>
      <c r="Y6" s="5"/>
      <c r="Z6" s="5"/>
    </row>
    <row r="7">
      <c r="A7" s="38" t="s">
        <v>1552</v>
      </c>
      <c r="B7" s="39" t="s">
        <v>1553</v>
      </c>
      <c r="C7" s="46" t="s">
        <v>74</v>
      </c>
      <c r="D7" s="41" t="s">
        <v>755</v>
      </c>
      <c r="E7" s="39" t="s">
        <v>1554</v>
      </c>
      <c r="F7" s="39" t="s">
        <v>1555</v>
      </c>
      <c r="G7" s="39" t="s">
        <v>1556</v>
      </c>
      <c r="H7" s="41" t="s">
        <v>45</v>
      </c>
      <c r="I7" s="39"/>
      <c r="J7" s="5"/>
      <c r="K7" s="5"/>
      <c r="L7" s="5"/>
      <c r="M7" s="5"/>
      <c r="N7" s="5"/>
      <c r="O7" s="5"/>
      <c r="P7" s="5"/>
      <c r="Q7" s="5"/>
      <c r="R7" s="5"/>
      <c r="S7" s="5"/>
      <c r="T7" s="5"/>
      <c r="U7" s="5"/>
      <c r="V7" s="5"/>
      <c r="W7" s="5"/>
      <c r="X7" s="5"/>
      <c r="Y7" s="5"/>
      <c r="Z7" s="5"/>
    </row>
    <row r="8">
      <c r="A8" s="42" t="s">
        <v>1557</v>
      </c>
      <c r="B8" s="43" t="s">
        <v>1558</v>
      </c>
      <c r="C8" s="45" t="s">
        <v>53</v>
      </c>
      <c r="D8" s="44" t="s">
        <v>755</v>
      </c>
      <c r="E8" s="43"/>
      <c r="F8" s="43" t="s">
        <v>1559</v>
      </c>
      <c r="G8" s="43" t="s">
        <v>1560</v>
      </c>
      <c r="H8" s="44" t="s">
        <v>45</v>
      </c>
      <c r="I8" s="43"/>
      <c r="J8" s="5"/>
      <c r="K8" s="5"/>
      <c r="L8" s="5"/>
      <c r="M8" s="5"/>
      <c r="N8" s="5"/>
      <c r="O8" s="5"/>
      <c r="P8" s="5"/>
      <c r="Q8" s="5"/>
      <c r="R8" s="5"/>
      <c r="S8" s="5"/>
      <c r="T8" s="5"/>
      <c r="U8" s="5"/>
      <c r="V8" s="5"/>
      <c r="W8" s="5"/>
      <c r="X8" s="5"/>
      <c r="Y8" s="5"/>
      <c r="Z8" s="5"/>
    </row>
    <row r="9">
      <c r="A9" s="38" t="s">
        <v>1561</v>
      </c>
      <c r="B9" s="39" t="s">
        <v>1562</v>
      </c>
      <c r="C9" s="40" t="s">
        <v>40</v>
      </c>
      <c r="D9" s="41" t="s">
        <v>41</v>
      </c>
      <c r="E9" s="39" t="s">
        <v>1563</v>
      </c>
      <c r="F9" s="39" t="s">
        <v>1564</v>
      </c>
      <c r="G9" s="39" t="s">
        <v>1565</v>
      </c>
      <c r="H9" s="41" t="s">
        <v>45</v>
      </c>
      <c r="I9" s="39"/>
      <c r="J9" s="5"/>
      <c r="K9" s="5"/>
      <c r="L9" s="5"/>
      <c r="M9" s="5"/>
      <c r="N9" s="5"/>
      <c r="O9" s="5"/>
      <c r="P9" s="5"/>
      <c r="Q9" s="5"/>
      <c r="R9" s="5"/>
      <c r="S9" s="5"/>
      <c r="T9" s="5"/>
      <c r="U9" s="5"/>
      <c r="V9" s="5"/>
      <c r="W9" s="5"/>
      <c r="X9" s="5"/>
      <c r="Y9" s="5"/>
      <c r="Z9" s="5"/>
    </row>
    <row r="10">
      <c r="A10" s="42" t="s">
        <v>1566</v>
      </c>
      <c r="B10" s="43" t="s">
        <v>1567</v>
      </c>
      <c r="C10" s="45" t="s">
        <v>53</v>
      </c>
      <c r="D10" s="44" t="s">
        <v>41</v>
      </c>
      <c r="E10" s="43" t="s">
        <v>1568</v>
      </c>
      <c r="F10" s="43" t="s">
        <v>1569</v>
      </c>
      <c r="G10" s="43" t="s">
        <v>1570</v>
      </c>
      <c r="H10" s="44" t="s">
        <v>45</v>
      </c>
      <c r="I10" s="43"/>
      <c r="J10" s="5"/>
      <c r="K10" s="5"/>
      <c r="L10" s="5"/>
      <c r="M10" s="5"/>
      <c r="N10" s="5"/>
      <c r="O10" s="5"/>
      <c r="P10" s="5"/>
      <c r="Q10" s="5"/>
      <c r="R10" s="5"/>
      <c r="S10" s="5"/>
      <c r="T10" s="5"/>
      <c r="U10" s="5"/>
      <c r="V10" s="5"/>
      <c r="W10" s="5"/>
      <c r="X10" s="5"/>
      <c r="Y10" s="5"/>
      <c r="Z10" s="5"/>
    </row>
    <row r="11">
      <c r="A11" s="38" t="s">
        <v>1571</v>
      </c>
      <c r="B11" s="39" t="s">
        <v>1572</v>
      </c>
      <c r="C11" s="46" t="s">
        <v>74</v>
      </c>
      <c r="D11" s="41" t="s">
        <v>755</v>
      </c>
      <c r="E11" s="39" t="s">
        <v>1573</v>
      </c>
      <c r="F11" s="39" t="s">
        <v>1574</v>
      </c>
      <c r="G11" s="39" t="s">
        <v>1575</v>
      </c>
      <c r="H11" s="41" t="s">
        <v>45</v>
      </c>
      <c r="I11" s="39"/>
      <c r="J11" s="5"/>
      <c r="K11" s="5"/>
      <c r="L11" s="5"/>
      <c r="M11" s="5"/>
      <c r="N11" s="5"/>
      <c r="O11" s="5"/>
      <c r="P11" s="5"/>
      <c r="Q11" s="5"/>
      <c r="R11" s="5"/>
      <c r="S11" s="5"/>
      <c r="T11" s="5"/>
      <c r="U11" s="5"/>
      <c r="V11" s="5"/>
      <c r="W11" s="5"/>
      <c r="X11" s="5"/>
      <c r="Y11" s="5"/>
      <c r="Z11" s="5"/>
    </row>
    <row r="12">
      <c r="A12" s="42" t="s">
        <v>1576</v>
      </c>
      <c r="B12" s="43" t="s">
        <v>1577</v>
      </c>
      <c r="C12" s="45" t="s">
        <v>53</v>
      </c>
      <c r="D12" s="44" t="s">
        <v>360</v>
      </c>
      <c r="E12" s="43" t="s">
        <v>529</v>
      </c>
      <c r="F12" s="43" t="s">
        <v>1578</v>
      </c>
      <c r="G12" s="43" t="s">
        <v>1579</v>
      </c>
      <c r="H12" s="44" t="s">
        <v>45</v>
      </c>
      <c r="I12" s="43"/>
      <c r="J12" s="5"/>
      <c r="K12" s="5"/>
      <c r="L12" s="5"/>
      <c r="M12" s="5"/>
      <c r="N12" s="5"/>
      <c r="O12" s="5"/>
      <c r="P12" s="5"/>
      <c r="Q12" s="5"/>
      <c r="R12" s="5"/>
      <c r="S12" s="5"/>
      <c r="T12" s="5"/>
      <c r="U12" s="5"/>
      <c r="V12" s="5"/>
      <c r="W12" s="5"/>
      <c r="X12" s="5"/>
      <c r="Y12" s="5"/>
      <c r="Z12" s="5"/>
    </row>
    <row r="13">
      <c r="A13" s="38" t="s">
        <v>1580</v>
      </c>
      <c r="B13" s="39" t="s">
        <v>1581</v>
      </c>
      <c r="C13" s="45" t="s">
        <v>53</v>
      </c>
      <c r="D13" s="41" t="s">
        <v>41</v>
      </c>
      <c r="E13" s="39" t="s">
        <v>1582</v>
      </c>
      <c r="F13" s="39" t="s">
        <v>1583</v>
      </c>
      <c r="G13" s="39" t="s">
        <v>1584</v>
      </c>
      <c r="H13" s="41" t="s">
        <v>45</v>
      </c>
      <c r="I13" s="39"/>
      <c r="J13" s="5"/>
      <c r="K13" s="5"/>
      <c r="L13" s="5"/>
      <c r="M13" s="5"/>
      <c r="N13" s="5"/>
      <c r="O13" s="5"/>
      <c r="P13" s="5"/>
      <c r="Q13" s="5"/>
      <c r="R13" s="5"/>
      <c r="S13" s="5"/>
      <c r="T13" s="5"/>
      <c r="U13" s="5"/>
      <c r="V13" s="5"/>
      <c r="W13" s="5"/>
      <c r="X13" s="5"/>
      <c r="Y13" s="5"/>
      <c r="Z13" s="5"/>
    </row>
    <row r="14">
      <c r="A14" s="42" t="s">
        <v>1585</v>
      </c>
      <c r="B14" s="51" t="s">
        <v>1586</v>
      </c>
      <c r="C14" s="67" t="s">
        <v>53</v>
      </c>
      <c r="D14" s="65" t="s">
        <v>41</v>
      </c>
      <c r="E14" s="51" t="s">
        <v>1587</v>
      </c>
      <c r="F14" s="51" t="s">
        <v>1588</v>
      </c>
      <c r="G14" s="51" t="s">
        <v>1589</v>
      </c>
      <c r="H14" s="65" t="s">
        <v>45</v>
      </c>
      <c r="I14" s="51" t="s">
        <v>1590</v>
      </c>
      <c r="J14" s="5"/>
      <c r="K14" s="5"/>
      <c r="L14" s="5"/>
      <c r="M14" s="5"/>
      <c r="N14" s="5"/>
      <c r="O14" s="5"/>
      <c r="P14" s="5"/>
      <c r="Q14" s="5"/>
      <c r="R14" s="5"/>
      <c r="S14" s="5"/>
      <c r="T14" s="5"/>
      <c r="U14" s="5"/>
      <c r="V14" s="5"/>
      <c r="W14" s="5"/>
      <c r="X14" s="5"/>
      <c r="Y14" s="5"/>
      <c r="Z14" s="5"/>
    </row>
    <row r="15">
      <c r="A15" s="38" t="s">
        <v>1591</v>
      </c>
      <c r="B15" s="39" t="s">
        <v>1592</v>
      </c>
      <c r="C15" s="45" t="s">
        <v>53</v>
      </c>
      <c r="D15" s="41" t="s">
        <v>41</v>
      </c>
      <c r="E15" s="39" t="s">
        <v>1593</v>
      </c>
      <c r="F15" s="39" t="s">
        <v>1594</v>
      </c>
      <c r="G15" s="39" t="s">
        <v>1595</v>
      </c>
      <c r="H15" s="41" t="s">
        <v>45</v>
      </c>
      <c r="I15" s="39"/>
      <c r="J15" s="5"/>
      <c r="K15" s="5"/>
      <c r="L15" s="5"/>
      <c r="M15" s="5"/>
      <c r="N15" s="5"/>
      <c r="O15" s="5"/>
      <c r="P15" s="5"/>
      <c r="Q15" s="5"/>
      <c r="R15" s="5"/>
      <c r="S15" s="5"/>
      <c r="T15" s="5"/>
      <c r="U15" s="5"/>
      <c r="V15" s="5"/>
      <c r="W15" s="5"/>
      <c r="X15" s="5"/>
      <c r="Y15" s="5"/>
      <c r="Z15" s="5"/>
    </row>
    <row r="16">
      <c r="A16" s="42" t="s">
        <v>1596</v>
      </c>
      <c r="B16" s="43" t="s">
        <v>1597</v>
      </c>
      <c r="C16" s="46" t="s">
        <v>74</v>
      </c>
      <c r="D16" s="44" t="s">
        <v>755</v>
      </c>
      <c r="E16" s="43" t="s">
        <v>1598</v>
      </c>
      <c r="F16" s="43" t="s">
        <v>1599</v>
      </c>
      <c r="G16" s="43" t="s">
        <v>1600</v>
      </c>
      <c r="H16" s="44" t="s">
        <v>45</v>
      </c>
      <c r="I16" s="43"/>
      <c r="J16" s="5"/>
      <c r="K16" s="5"/>
      <c r="L16" s="5"/>
      <c r="M16" s="5"/>
      <c r="N16" s="5"/>
      <c r="O16" s="5"/>
      <c r="P16" s="5"/>
      <c r="Q16" s="5"/>
      <c r="R16" s="5"/>
      <c r="S16" s="5"/>
      <c r="T16" s="5"/>
      <c r="U16" s="5"/>
      <c r="V16" s="5"/>
      <c r="W16" s="5"/>
      <c r="X16" s="5"/>
      <c r="Y16" s="5"/>
      <c r="Z16" s="5"/>
    </row>
    <row r="17">
      <c r="A17" s="38" t="s">
        <v>1601</v>
      </c>
      <c r="B17" s="39" t="s">
        <v>1602</v>
      </c>
      <c r="C17" s="45" t="s">
        <v>53</v>
      </c>
      <c r="D17" s="41" t="s">
        <v>41</v>
      </c>
      <c r="E17" s="39" t="s">
        <v>1603</v>
      </c>
      <c r="F17" s="39" t="s">
        <v>1604</v>
      </c>
      <c r="G17" s="39" t="s">
        <v>1605</v>
      </c>
      <c r="H17" s="41" t="s">
        <v>45</v>
      </c>
      <c r="I17" s="39" t="s">
        <v>1606</v>
      </c>
      <c r="J17" s="5"/>
      <c r="K17" s="5"/>
      <c r="L17" s="5"/>
      <c r="M17" s="5"/>
      <c r="N17" s="5"/>
      <c r="O17" s="5"/>
      <c r="P17" s="5"/>
      <c r="Q17" s="5"/>
      <c r="R17" s="5"/>
      <c r="S17" s="5"/>
      <c r="T17" s="5"/>
      <c r="U17" s="5"/>
      <c r="V17" s="5"/>
      <c r="W17" s="5"/>
      <c r="X17" s="5"/>
      <c r="Y17" s="5"/>
      <c r="Z17" s="5"/>
    </row>
    <row r="18">
      <c r="A18" s="42" t="s">
        <v>1607</v>
      </c>
      <c r="B18" s="43" t="s">
        <v>1608</v>
      </c>
      <c r="C18" s="46" t="s">
        <v>74</v>
      </c>
      <c r="D18" s="44" t="s">
        <v>755</v>
      </c>
      <c r="E18" s="43" t="s">
        <v>1593</v>
      </c>
      <c r="F18" s="43" t="s">
        <v>1609</v>
      </c>
      <c r="G18" s="43" t="s">
        <v>1610</v>
      </c>
      <c r="H18" s="44" t="s">
        <v>45</v>
      </c>
      <c r="I18" s="43"/>
      <c r="J18" s="5"/>
      <c r="K18" s="5"/>
      <c r="L18" s="5"/>
      <c r="M18" s="5"/>
      <c r="N18" s="5"/>
      <c r="O18" s="5"/>
      <c r="P18" s="5"/>
      <c r="Q18" s="5"/>
      <c r="R18" s="5"/>
      <c r="S18" s="5"/>
      <c r="T18" s="5"/>
      <c r="U18" s="5"/>
      <c r="V18" s="5"/>
      <c r="W18" s="5"/>
      <c r="X18" s="5"/>
      <c r="Y18" s="5"/>
      <c r="Z18" s="5"/>
    </row>
    <row r="19">
      <c r="A19" s="38" t="s">
        <v>1611</v>
      </c>
      <c r="B19" s="39" t="s">
        <v>1612</v>
      </c>
      <c r="C19" s="40" t="s">
        <v>40</v>
      </c>
      <c r="D19" s="41" t="s">
        <v>755</v>
      </c>
      <c r="E19" s="39" t="s">
        <v>1613</v>
      </c>
      <c r="F19" s="39" t="s">
        <v>1614</v>
      </c>
      <c r="G19" s="39" t="s">
        <v>1615</v>
      </c>
      <c r="H19" s="41" t="s">
        <v>45</v>
      </c>
      <c r="I19" s="39" t="s">
        <v>1616</v>
      </c>
      <c r="J19" s="5"/>
      <c r="K19" s="5"/>
      <c r="L19" s="5"/>
      <c r="M19" s="5"/>
      <c r="N19" s="5"/>
      <c r="O19" s="5"/>
      <c r="P19" s="5"/>
      <c r="Q19" s="5"/>
      <c r="R19" s="5"/>
      <c r="S19" s="5"/>
      <c r="T19" s="5"/>
      <c r="U19" s="5"/>
      <c r="V19" s="5"/>
      <c r="W19" s="5"/>
      <c r="X19" s="5"/>
      <c r="Y19" s="5"/>
      <c r="Z19" s="5"/>
    </row>
    <row r="20">
      <c r="A20" s="42" t="s">
        <v>1617</v>
      </c>
      <c r="B20" s="43" t="s">
        <v>1618</v>
      </c>
      <c r="C20" s="45" t="s">
        <v>53</v>
      </c>
      <c r="D20" s="44" t="s">
        <v>755</v>
      </c>
      <c r="E20" s="43" t="s">
        <v>1619</v>
      </c>
      <c r="F20" s="43" t="s">
        <v>1620</v>
      </c>
      <c r="G20" s="43" t="s">
        <v>1621</v>
      </c>
      <c r="H20" s="44" t="s">
        <v>45</v>
      </c>
      <c r="I20" s="43"/>
      <c r="J20" s="5"/>
      <c r="K20" s="5"/>
      <c r="L20" s="5"/>
      <c r="M20" s="5"/>
      <c r="N20" s="5"/>
      <c r="O20" s="5"/>
      <c r="P20" s="5"/>
      <c r="Q20" s="5"/>
      <c r="R20" s="5"/>
      <c r="S20" s="5"/>
      <c r="T20" s="5"/>
      <c r="U20" s="5"/>
      <c r="V20" s="5"/>
      <c r="W20" s="5"/>
      <c r="X20" s="5"/>
      <c r="Y20" s="5"/>
      <c r="Z20" s="5"/>
    </row>
    <row r="21" ht="15.75" customHeight="1">
      <c r="A21" s="42" t="s">
        <v>1622</v>
      </c>
      <c r="B21" s="43" t="s">
        <v>1623</v>
      </c>
      <c r="C21" s="45" t="s">
        <v>53</v>
      </c>
      <c r="D21" s="44" t="s">
        <v>755</v>
      </c>
      <c r="E21" s="43" t="s">
        <v>1624</v>
      </c>
      <c r="F21" s="43" t="s">
        <v>1625</v>
      </c>
      <c r="G21" s="43" t="s">
        <v>1626</v>
      </c>
      <c r="H21" s="44" t="s">
        <v>45</v>
      </c>
      <c r="I21" s="43"/>
      <c r="J21" s="5"/>
      <c r="K21" s="5"/>
      <c r="L21" s="5"/>
      <c r="M21" s="5"/>
      <c r="N21" s="5"/>
      <c r="O21" s="5"/>
      <c r="P21" s="5"/>
      <c r="Q21" s="5"/>
      <c r="R21" s="5"/>
      <c r="S21" s="5"/>
      <c r="T21" s="5"/>
      <c r="U21" s="5"/>
      <c r="V21" s="5"/>
      <c r="W21" s="5"/>
      <c r="X21" s="5"/>
      <c r="Y21" s="5"/>
      <c r="Z21" s="5"/>
    </row>
    <row r="22" ht="15.75" customHeight="1">
      <c r="A22" s="38" t="s">
        <v>1627</v>
      </c>
      <c r="B22" s="39" t="s">
        <v>1628</v>
      </c>
      <c r="C22" s="46" t="s">
        <v>74</v>
      </c>
      <c r="D22" s="41" t="s">
        <v>755</v>
      </c>
      <c r="E22" s="39" t="s">
        <v>1629</v>
      </c>
      <c r="F22" s="39" t="s">
        <v>1630</v>
      </c>
      <c r="G22" s="39" t="s">
        <v>1631</v>
      </c>
      <c r="H22" s="41" t="s">
        <v>45</v>
      </c>
      <c r="I22" s="39"/>
      <c r="J22" s="5"/>
      <c r="K22" s="5"/>
      <c r="L22" s="5"/>
      <c r="M22" s="5"/>
      <c r="N22" s="5"/>
      <c r="O22" s="5"/>
      <c r="P22" s="5"/>
      <c r="Q22" s="5"/>
      <c r="R22" s="5"/>
      <c r="S22" s="5"/>
      <c r="T22" s="5"/>
      <c r="U22" s="5"/>
      <c r="V22" s="5"/>
      <c r="W22" s="5"/>
      <c r="X22" s="5"/>
      <c r="Y22" s="5"/>
      <c r="Z22" s="5"/>
    </row>
    <row r="23" ht="15.75" customHeight="1">
      <c r="A23" s="42" t="s">
        <v>1632</v>
      </c>
      <c r="B23" s="43" t="s">
        <v>1633</v>
      </c>
      <c r="C23" s="40" t="s">
        <v>40</v>
      </c>
      <c r="D23" s="44" t="s">
        <v>1634</v>
      </c>
      <c r="E23" s="43" t="s">
        <v>1635</v>
      </c>
      <c r="F23" s="43" t="s">
        <v>1636</v>
      </c>
      <c r="G23" s="43" t="s">
        <v>1637</v>
      </c>
      <c r="H23" s="44" t="s">
        <v>45</v>
      </c>
      <c r="I23" s="43" t="s">
        <v>1638</v>
      </c>
      <c r="J23" s="5"/>
      <c r="K23" s="5"/>
      <c r="L23" s="5"/>
      <c r="M23" s="5"/>
      <c r="N23" s="5"/>
      <c r="O23" s="5"/>
      <c r="P23" s="5"/>
      <c r="Q23" s="5"/>
      <c r="R23" s="5"/>
      <c r="S23" s="5"/>
      <c r="T23" s="5"/>
      <c r="U23" s="5"/>
      <c r="V23" s="5"/>
      <c r="W23" s="5"/>
      <c r="X23" s="5"/>
      <c r="Y23" s="5"/>
      <c r="Z23" s="5"/>
    </row>
    <row r="24" ht="15.75" customHeight="1">
      <c r="A24" s="38" t="s">
        <v>1639</v>
      </c>
      <c r="B24" s="39" t="s">
        <v>1640</v>
      </c>
      <c r="C24" s="40" t="s">
        <v>40</v>
      </c>
      <c r="D24" s="41" t="s">
        <v>1634</v>
      </c>
      <c r="E24" s="39" t="s">
        <v>1641</v>
      </c>
      <c r="F24" s="39" t="s">
        <v>1642</v>
      </c>
      <c r="G24" s="39" t="s">
        <v>1643</v>
      </c>
      <c r="H24" s="41" t="s">
        <v>45</v>
      </c>
      <c r="I24" s="39"/>
      <c r="J24" s="5"/>
      <c r="K24" s="5"/>
      <c r="L24" s="5"/>
      <c r="M24" s="5"/>
      <c r="N24" s="5"/>
      <c r="O24" s="5"/>
      <c r="P24" s="5"/>
      <c r="Q24" s="5"/>
      <c r="R24" s="5"/>
      <c r="S24" s="5"/>
      <c r="T24" s="5"/>
      <c r="U24" s="5"/>
      <c r="V24" s="5"/>
      <c r="W24" s="5"/>
      <c r="X24" s="5"/>
      <c r="Y24" s="5"/>
      <c r="Z24" s="5"/>
    </row>
    <row r="25" ht="15.75" customHeight="1">
      <c r="A25" s="42" t="s">
        <v>1644</v>
      </c>
      <c r="B25" s="43" t="s">
        <v>1645</v>
      </c>
      <c r="C25" s="40" t="s">
        <v>40</v>
      </c>
      <c r="D25" s="44" t="s">
        <v>1634</v>
      </c>
      <c r="E25" s="43" t="s">
        <v>1646</v>
      </c>
      <c r="F25" s="43" t="s">
        <v>1647</v>
      </c>
      <c r="G25" s="43" t="s">
        <v>1648</v>
      </c>
      <c r="H25" s="44" t="s">
        <v>45</v>
      </c>
      <c r="I25" s="43" t="s">
        <v>1649</v>
      </c>
      <c r="J25" s="5"/>
      <c r="K25" s="5"/>
      <c r="L25" s="5"/>
      <c r="M25" s="5"/>
      <c r="N25" s="5"/>
      <c r="O25" s="5"/>
      <c r="P25" s="5"/>
      <c r="Q25" s="5"/>
      <c r="R25" s="5"/>
      <c r="S25" s="5"/>
      <c r="T25" s="5"/>
      <c r="U25" s="5"/>
      <c r="V25" s="5"/>
      <c r="W25" s="5"/>
      <c r="X25" s="5"/>
      <c r="Y25" s="5"/>
      <c r="Z25" s="5"/>
    </row>
    <row r="26" ht="15.75" customHeight="1">
      <c r="A26" s="38" t="s">
        <v>1650</v>
      </c>
      <c r="B26" s="39" t="s">
        <v>1651</v>
      </c>
      <c r="C26" s="40" t="s">
        <v>40</v>
      </c>
      <c r="D26" s="41" t="s">
        <v>1634</v>
      </c>
      <c r="E26" s="39" t="s">
        <v>1652</v>
      </c>
      <c r="F26" s="39" t="s">
        <v>1653</v>
      </c>
      <c r="G26" s="39" t="s">
        <v>1654</v>
      </c>
      <c r="H26" s="41" t="s">
        <v>45</v>
      </c>
      <c r="I26" s="39" t="s">
        <v>1655</v>
      </c>
      <c r="J26" s="5"/>
      <c r="K26" s="5"/>
      <c r="L26" s="5"/>
      <c r="M26" s="5"/>
      <c r="N26" s="5"/>
      <c r="O26" s="5"/>
      <c r="P26" s="5"/>
      <c r="Q26" s="5"/>
      <c r="R26" s="5"/>
      <c r="S26" s="5"/>
      <c r="T26" s="5"/>
      <c r="U26" s="5"/>
      <c r="V26" s="5"/>
      <c r="W26" s="5"/>
      <c r="X26" s="5"/>
      <c r="Y26" s="5"/>
      <c r="Z26" s="5"/>
    </row>
    <row r="27" ht="15.75" customHeight="1">
      <c r="A27" s="42" t="s">
        <v>1656</v>
      </c>
      <c r="B27" s="43" t="s">
        <v>1657</v>
      </c>
      <c r="C27" s="45" t="s">
        <v>53</v>
      </c>
      <c r="D27" s="44" t="s">
        <v>1634</v>
      </c>
      <c r="E27" s="43" t="s">
        <v>1658</v>
      </c>
      <c r="F27" s="43" t="s">
        <v>1659</v>
      </c>
      <c r="G27" s="43" t="s">
        <v>1660</v>
      </c>
      <c r="H27" s="44" t="s">
        <v>45</v>
      </c>
      <c r="I27" s="43"/>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A1:I1"/>
    <mergeCell ref="A2:I2"/>
  </mergeCells>
  <conditionalFormatting sqref="A5:I12">
    <cfRule type="expression" dxfId="2" priority="1">
      <formula>$H5="Pass"</formula>
    </cfRule>
  </conditionalFormatting>
  <conditionalFormatting sqref="A5:I12">
    <cfRule type="expression" dxfId="1" priority="2">
      <formula>$H5="Fail"</formula>
    </cfRule>
  </conditionalFormatting>
  <conditionalFormatting sqref="A5:I12">
    <cfRule type="expression" dxfId="0" priority="3">
      <formula>$H5="Blocked"</formula>
    </cfRule>
  </conditionalFormatting>
  <conditionalFormatting sqref="A5:I27">
    <cfRule type="expression" dxfId="2" priority="4">
      <formula>$H5="Pass"</formula>
    </cfRule>
  </conditionalFormatting>
  <conditionalFormatting sqref="A5:I27">
    <cfRule type="expression" dxfId="1" priority="5">
      <formula>$H5="Fail"</formula>
    </cfRule>
  </conditionalFormatting>
  <conditionalFormatting sqref="A5:I27">
    <cfRule type="expression" dxfId="0" priority="6">
      <formula>$H5="Blocked"</formula>
    </cfRule>
  </conditionalFormatting>
  <dataValidations>
    <dataValidation type="list" allowBlank="1" sqref="H5:H27">
      <formula1>"Pass,Fail,Blocked,Not Run"</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32.0"/>
    <col customWidth="1" min="3" max="3" width="10.0"/>
    <col customWidth="1" min="4" max="4" width="13.0"/>
    <col customWidth="1" min="5" max="5" width="30.0"/>
    <col customWidth="1" min="6" max="7" width="42.0"/>
    <col customWidth="1" min="8" max="8" width="12.0"/>
    <col customWidth="1" min="9" max="9" width="30.0"/>
  </cols>
  <sheetData>
    <row r="1" ht="31.5" customHeight="1">
      <c r="A1" s="35" t="s">
        <v>1661</v>
      </c>
      <c r="B1" s="3"/>
      <c r="C1" s="3"/>
      <c r="D1" s="3"/>
      <c r="E1" s="3"/>
      <c r="F1" s="3"/>
      <c r="G1" s="3"/>
      <c r="H1" s="3"/>
      <c r="I1" s="4"/>
      <c r="J1" s="5"/>
      <c r="K1" s="5"/>
      <c r="L1" s="5"/>
      <c r="M1" s="5"/>
      <c r="N1" s="5"/>
      <c r="O1" s="5"/>
      <c r="P1" s="5"/>
      <c r="Q1" s="5"/>
      <c r="R1" s="5"/>
      <c r="S1" s="5"/>
      <c r="T1" s="5"/>
      <c r="U1" s="5"/>
      <c r="V1" s="5"/>
      <c r="W1" s="5"/>
      <c r="X1" s="5"/>
      <c r="Y1" s="5"/>
      <c r="Z1" s="5"/>
    </row>
    <row r="2" ht="15.75" customHeight="1">
      <c r="A2" s="36" t="s">
        <v>1662</v>
      </c>
      <c r="B2" s="3"/>
      <c r="C2" s="3"/>
      <c r="D2" s="3"/>
      <c r="E2" s="3"/>
      <c r="F2" s="3"/>
      <c r="G2" s="3"/>
      <c r="H2" s="3"/>
      <c r="I2" s="4"/>
      <c r="J2" s="5"/>
      <c r="K2" s="5"/>
      <c r="L2" s="5"/>
      <c r="M2" s="5"/>
      <c r="N2" s="5"/>
      <c r="O2" s="5"/>
      <c r="P2" s="5"/>
      <c r="Q2" s="5"/>
      <c r="R2" s="5"/>
      <c r="S2" s="5"/>
      <c r="T2" s="5"/>
      <c r="U2" s="5"/>
      <c r="V2" s="5"/>
      <c r="W2" s="5"/>
      <c r="X2" s="5"/>
      <c r="Y2" s="5"/>
      <c r="Z2" s="5"/>
    </row>
    <row r="3" ht="7.5" customHeight="1">
      <c r="A3" s="5"/>
      <c r="B3" s="5"/>
      <c r="C3" s="5"/>
      <c r="D3" s="5"/>
      <c r="E3" s="5"/>
      <c r="F3" s="5"/>
      <c r="G3" s="5"/>
      <c r="H3" s="5"/>
      <c r="I3" s="5"/>
      <c r="J3" s="5"/>
      <c r="K3" s="5"/>
      <c r="L3" s="5"/>
      <c r="M3" s="5"/>
      <c r="N3" s="5"/>
      <c r="O3" s="5"/>
      <c r="P3" s="5"/>
      <c r="Q3" s="5"/>
      <c r="R3" s="5"/>
      <c r="S3" s="5"/>
      <c r="T3" s="5"/>
      <c r="U3" s="5"/>
      <c r="V3" s="5"/>
      <c r="W3" s="5"/>
      <c r="X3" s="5"/>
      <c r="Y3" s="5"/>
      <c r="Z3" s="5"/>
    </row>
    <row r="4" ht="21.75" customHeight="1">
      <c r="A4" s="37" t="s">
        <v>29</v>
      </c>
      <c r="B4" s="37" t="s">
        <v>30</v>
      </c>
      <c r="C4" s="37" t="s">
        <v>31</v>
      </c>
      <c r="D4" s="37" t="s">
        <v>32</v>
      </c>
      <c r="E4" s="37" t="s">
        <v>33</v>
      </c>
      <c r="F4" s="37" t="s">
        <v>34</v>
      </c>
      <c r="G4" s="37" t="s">
        <v>35</v>
      </c>
      <c r="H4" s="37" t="s">
        <v>36</v>
      </c>
      <c r="I4" s="37" t="s">
        <v>37</v>
      </c>
      <c r="J4" s="5"/>
      <c r="K4" s="5"/>
      <c r="L4" s="5"/>
      <c r="M4" s="5"/>
      <c r="N4" s="5"/>
      <c r="O4" s="5"/>
      <c r="P4" s="5"/>
      <c r="Q4" s="5"/>
      <c r="R4" s="5"/>
      <c r="S4" s="5"/>
      <c r="T4" s="5"/>
      <c r="U4" s="5"/>
      <c r="V4" s="5"/>
      <c r="W4" s="5"/>
      <c r="X4" s="5"/>
      <c r="Y4" s="5"/>
      <c r="Z4" s="5"/>
    </row>
    <row r="5">
      <c r="A5" s="38" t="s">
        <v>1663</v>
      </c>
      <c r="B5" s="39" t="s">
        <v>1664</v>
      </c>
      <c r="C5" s="40" t="s">
        <v>40</v>
      </c>
      <c r="D5" s="41" t="s">
        <v>41</v>
      </c>
      <c r="E5" s="39" t="s">
        <v>1665</v>
      </c>
      <c r="F5" s="39" t="s">
        <v>1666</v>
      </c>
      <c r="G5" s="39" t="s">
        <v>1667</v>
      </c>
      <c r="H5" s="41" t="s">
        <v>45</v>
      </c>
      <c r="I5" s="53" t="s">
        <v>1668</v>
      </c>
      <c r="J5" s="5"/>
      <c r="K5" s="5"/>
      <c r="L5" s="5"/>
      <c r="M5" s="5"/>
      <c r="N5" s="5"/>
      <c r="O5" s="5"/>
      <c r="P5" s="5"/>
      <c r="Q5" s="5"/>
      <c r="R5" s="5"/>
      <c r="S5" s="5"/>
      <c r="T5" s="5"/>
      <c r="U5" s="5"/>
      <c r="V5" s="5"/>
      <c r="W5" s="5"/>
      <c r="X5" s="5"/>
      <c r="Y5" s="5"/>
      <c r="Z5" s="5"/>
    </row>
    <row r="6">
      <c r="A6" s="42" t="s">
        <v>1669</v>
      </c>
      <c r="B6" s="43" t="s">
        <v>1670</v>
      </c>
      <c r="C6" s="40" t="s">
        <v>40</v>
      </c>
      <c r="D6" s="44" t="s">
        <v>41</v>
      </c>
      <c r="E6" s="43" t="s">
        <v>1671</v>
      </c>
      <c r="F6" s="43" t="s">
        <v>1672</v>
      </c>
      <c r="G6" s="43" t="s">
        <v>1673</v>
      </c>
      <c r="H6" s="44" t="s">
        <v>45</v>
      </c>
      <c r="I6" s="43"/>
      <c r="J6" s="5"/>
      <c r="K6" s="5"/>
      <c r="L6" s="5"/>
      <c r="M6" s="5"/>
      <c r="N6" s="5"/>
      <c r="O6" s="5"/>
      <c r="P6" s="5"/>
      <c r="Q6" s="5"/>
      <c r="R6" s="5"/>
      <c r="S6" s="5"/>
      <c r="T6" s="5"/>
      <c r="U6" s="5"/>
      <c r="V6" s="5"/>
      <c r="W6" s="5"/>
      <c r="X6" s="5"/>
      <c r="Y6" s="5"/>
      <c r="Z6" s="5"/>
    </row>
    <row r="7">
      <c r="A7" s="38" t="s">
        <v>1674</v>
      </c>
      <c r="B7" s="39" t="s">
        <v>1675</v>
      </c>
      <c r="C7" s="40" t="s">
        <v>40</v>
      </c>
      <c r="D7" s="41" t="s">
        <v>41</v>
      </c>
      <c r="E7" s="39" t="s">
        <v>1676</v>
      </c>
      <c r="F7" s="39" t="s">
        <v>1677</v>
      </c>
      <c r="G7" s="39" t="s">
        <v>1678</v>
      </c>
      <c r="H7" s="41" t="s">
        <v>45</v>
      </c>
      <c r="I7" s="39"/>
      <c r="J7" s="5"/>
      <c r="K7" s="5"/>
      <c r="L7" s="5"/>
      <c r="M7" s="5"/>
      <c r="N7" s="5"/>
      <c r="O7" s="5"/>
      <c r="P7" s="5"/>
      <c r="Q7" s="5"/>
      <c r="R7" s="5"/>
      <c r="S7" s="5"/>
      <c r="T7" s="5"/>
      <c r="U7" s="5"/>
      <c r="V7" s="5"/>
      <c r="W7" s="5"/>
      <c r="X7" s="5"/>
      <c r="Y7" s="5"/>
      <c r="Z7" s="5"/>
    </row>
    <row r="8">
      <c r="A8" s="42" t="s">
        <v>1679</v>
      </c>
      <c r="B8" s="43" t="s">
        <v>1680</v>
      </c>
      <c r="C8" s="40" t="s">
        <v>40</v>
      </c>
      <c r="D8" s="44" t="s">
        <v>41</v>
      </c>
      <c r="E8" s="43" t="s">
        <v>1681</v>
      </c>
      <c r="F8" s="43" t="s">
        <v>1682</v>
      </c>
      <c r="G8" s="43" t="s">
        <v>1683</v>
      </c>
      <c r="H8" s="44" t="s">
        <v>45</v>
      </c>
      <c r="I8" s="43"/>
      <c r="J8" s="5"/>
      <c r="K8" s="5"/>
      <c r="L8" s="5"/>
      <c r="M8" s="5"/>
      <c r="N8" s="5"/>
      <c r="O8" s="5"/>
      <c r="P8" s="5"/>
      <c r="Q8" s="5"/>
      <c r="R8" s="5"/>
      <c r="S8" s="5"/>
      <c r="T8" s="5"/>
      <c r="U8" s="5"/>
      <c r="V8" s="5"/>
      <c r="W8" s="5"/>
      <c r="X8" s="5"/>
      <c r="Y8" s="5"/>
      <c r="Z8" s="5"/>
    </row>
    <row r="9">
      <c r="A9" s="38" t="s">
        <v>1684</v>
      </c>
      <c r="B9" s="39" t="s">
        <v>1685</v>
      </c>
      <c r="C9" s="45" t="s">
        <v>53</v>
      </c>
      <c r="D9" s="41" t="s">
        <v>41</v>
      </c>
      <c r="E9" s="39" t="s">
        <v>1686</v>
      </c>
      <c r="F9" s="39" t="s">
        <v>1687</v>
      </c>
      <c r="G9" s="39" t="s">
        <v>1688</v>
      </c>
      <c r="H9" s="41" t="s">
        <v>45</v>
      </c>
      <c r="I9" s="39"/>
      <c r="J9" s="5"/>
      <c r="K9" s="5"/>
      <c r="L9" s="5"/>
      <c r="M9" s="5"/>
      <c r="N9" s="5"/>
      <c r="O9" s="5"/>
      <c r="P9" s="5"/>
      <c r="Q9" s="5"/>
      <c r="R9" s="5"/>
      <c r="S9" s="5"/>
      <c r="T9" s="5"/>
      <c r="U9" s="5"/>
      <c r="V9" s="5"/>
      <c r="W9" s="5"/>
      <c r="X9" s="5"/>
      <c r="Y9" s="5"/>
      <c r="Z9" s="5"/>
    </row>
    <row r="10">
      <c r="A10" s="42" t="s">
        <v>1689</v>
      </c>
      <c r="B10" s="43" t="s">
        <v>1690</v>
      </c>
      <c r="C10" s="45" t="s">
        <v>53</v>
      </c>
      <c r="D10" s="44" t="s">
        <v>41</v>
      </c>
      <c r="E10" s="43" t="s">
        <v>1691</v>
      </c>
      <c r="F10" s="43" t="s">
        <v>1692</v>
      </c>
      <c r="G10" s="43" t="s">
        <v>1693</v>
      </c>
      <c r="H10" s="44" t="s">
        <v>45</v>
      </c>
      <c r="I10" s="43"/>
      <c r="J10" s="5"/>
      <c r="K10" s="5"/>
      <c r="L10" s="5"/>
      <c r="M10" s="5"/>
      <c r="N10" s="5"/>
      <c r="O10" s="5"/>
      <c r="P10" s="5"/>
      <c r="Q10" s="5"/>
      <c r="R10" s="5"/>
      <c r="S10" s="5"/>
      <c r="T10" s="5"/>
      <c r="U10" s="5"/>
      <c r="V10" s="5"/>
      <c r="W10" s="5"/>
      <c r="X10" s="5"/>
      <c r="Y10" s="5"/>
      <c r="Z10" s="5"/>
    </row>
    <row r="11">
      <c r="A11" s="38" t="s">
        <v>1694</v>
      </c>
      <c r="B11" s="39" t="s">
        <v>1695</v>
      </c>
      <c r="C11" s="45" t="s">
        <v>53</v>
      </c>
      <c r="D11" s="41" t="s">
        <v>41</v>
      </c>
      <c r="E11" s="39" t="s">
        <v>1696</v>
      </c>
      <c r="F11" s="53" t="s">
        <v>1697</v>
      </c>
      <c r="G11" s="39" t="s">
        <v>1698</v>
      </c>
      <c r="H11" s="41" t="s">
        <v>45</v>
      </c>
      <c r="I11" s="39"/>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ht="15.7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5.7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5.7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A1:I1"/>
    <mergeCell ref="A2:I2"/>
  </mergeCells>
  <conditionalFormatting sqref="A5:I11">
    <cfRule type="expression" dxfId="2" priority="1">
      <formula>$H5="Pass"</formula>
    </cfRule>
  </conditionalFormatting>
  <conditionalFormatting sqref="A5:I11">
    <cfRule type="expression" dxfId="1" priority="2">
      <formula>$H5="Fail"</formula>
    </cfRule>
  </conditionalFormatting>
  <conditionalFormatting sqref="A5:I11">
    <cfRule type="expression" dxfId="0" priority="3">
      <formula>$H5="Blocked"</formula>
    </cfRule>
  </conditionalFormatting>
  <dataValidations>
    <dataValidation type="list" allowBlank="1" sqref="H5:H11">
      <formula1>"Pass,Fail,Blocked,Not Run"</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32.0"/>
    <col customWidth="1" min="3" max="3" width="10.0"/>
    <col customWidth="1" min="4" max="4" width="13.0"/>
    <col customWidth="1" min="5" max="5" width="30.0"/>
    <col customWidth="1" min="6" max="7" width="42.0"/>
    <col customWidth="1" min="8" max="8" width="12.0"/>
    <col customWidth="1" min="9" max="9" width="30.0"/>
  </cols>
  <sheetData>
    <row r="1" ht="31.5" customHeight="1">
      <c r="A1" s="54" t="s">
        <v>1699</v>
      </c>
      <c r="B1" s="3"/>
      <c r="C1" s="3"/>
      <c r="D1" s="3"/>
      <c r="E1" s="3"/>
      <c r="F1" s="3"/>
      <c r="G1" s="3"/>
      <c r="H1" s="3"/>
      <c r="I1" s="4"/>
      <c r="J1" s="5"/>
      <c r="K1" s="5"/>
      <c r="L1" s="5"/>
      <c r="M1" s="5"/>
      <c r="N1" s="5"/>
      <c r="O1" s="5"/>
      <c r="P1" s="5"/>
      <c r="Q1" s="5"/>
      <c r="R1" s="5"/>
      <c r="S1" s="5"/>
      <c r="T1" s="5"/>
      <c r="U1" s="5"/>
      <c r="V1" s="5"/>
      <c r="W1" s="5"/>
      <c r="X1" s="5"/>
      <c r="Y1" s="5"/>
      <c r="Z1" s="5"/>
    </row>
    <row r="2" ht="15.75" customHeight="1">
      <c r="A2" s="70" t="s">
        <v>1700</v>
      </c>
      <c r="B2" s="3"/>
      <c r="C2" s="3"/>
      <c r="D2" s="3"/>
      <c r="E2" s="3"/>
      <c r="F2" s="3"/>
      <c r="G2" s="3"/>
      <c r="H2" s="3"/>
      <c r="I2" s="4"/>
      <c r="J2" s="5"/>
      <c r="K2" s="5"/>
      <c r="L2" s="5"/>
      <c r="M2" s="5"/>
      <c r="N2" s="5"/>
      <c r="O2" s="5"/>
      <c r="P2" s="5"/>
      <c r="Q2" s="5"/>
      <c r="R2" s="5"/>
      <c r="S2" s="5"/>
      <c r="T2" s="5"/>
      <c r="U2" s="5"/>
      <c r="V2" s="5"/>
      <c r="W2" s="5"/>
      <c r="X2" s="5"/>
      <c r="Y2" s="5"/>
      <c r="Z2" s="5"/>
    </row>
    <row r="3" ht="7.5" customHeight="1">
      <c r="A3" s="5"/>
      <c r="B3" s="5"/>
      <c r="C3" s="5"/>
      <c r="D3" s="5"/>
      <c r="E3" s="5"/>
      <c r="F3" s="5"/>
      <c r="G3" s="5"/>
      <c r="H3" s="5"/>
      <c r="I3" s="5"/>
      <c r="J3" s="5"/>
      <c r="K3" s="5"/>
      <c r="L3" s="5"/>
      <c r="M3" s="5"/>
      <c r="N3" s="5"/>
      <c r="O3" s="5"/>
      <c r="P3" s="5"/>
      <c r="Q3" s="5"/>
      <c r="R3" s="5"/>
      <c r="S3" s="5"/>
      <c r="T3" s="5"/>
      <c r="U3" s="5"/>
      <c r="V3" s="5"/>
      <c r="W3" s="5"/>
      <c r="X3" s="5"/>
      <c r="Y3" s="5"/>
      <c r="Z3" s="5"/>
    </row>
    <row r="4" ht="21.75" customHeight="1">
      <c r="A4" s="37" t="s">
        <v>29</v>
      </c>
      <c r="B4" s="37" t="s">
        <v>30</v>
      </c>
      <c r="C4" s="37" t="s">
        <v>31</v>
      </c>
      <c r="D4" s="37" t="s">
        <v>32</v>
      </c>
      <c r="E4" s="37" t="s">
        <v>33</v>
      </c>
      <c r="F4" s="37" t="s">
        <v>34</v>
      </c>
      <c r="G4" s="37" t="s">
        <v>35</v>
      </c>
      <c r="H4" s="37" t="s">
        <v>36</v>
      </c>
      <c r="I4" s="37" t="s">
        <v>37</v>
      </c>
      <c r="J4" s="5"/>
      <c r="K4" s="5"/>
      <c r="L4" s="5"/>
      <c r="M4" s="5"/>
      <c r="N4" s="5"/>
      <c r="O4" s="5"/>
      <c r="P4" s="5"/>
      <c r="Q4" s="5"/>
      <c r="R4" s="5"/>
      <c r="S4" s="5"/>
      <c r="T4" s="5"/>
      <c r="U4" s="5"/>
      <c r="V4" s="5"/>
      <c r="W4" s="5"/>
      <c r="X4" s="5"/>
      <c r="Y4" s="5"/>
      <c r="Z4" s="5"/>
    </row>
    <row r="5">
      <c r="A5" s="71" t="s">
        <v>1701</v>
      </c>
      <c r="B5" s="53" t="s">
        <v>1702</v>
      </c>
      <c r="C5" s="72" t="s">
        <v>40</v>
      </c>
      <c r="D5" s="56" t="s">
        <v>41</v>
      </c>
      <c r="E5" s="53" t="s">
        <v>1703</v>
      </c>
      <c r="F5" s="53" t="s">
        <v>1704</v>
      </c>
      <c r="G5" s="53" t="s">
        <v>1705</v>
      </c>
      <c r="H5" s="56" t="s">
        <v>45</v>
      </c>
      <c r="I5" s="53"/>
      <c r="J5" s="5"/>
      <c r="K5" s="5"/>
      <c r="L5" s="5"/>
      <c r="M5" s="5"/>
      <c r="N5" s="5"/>
      <c r="O5" s="5"/>
      <c r="P5" s="5"/>
      <c r="Q5" s="5"/>
      <c r="R5" s="5"/>
      <c r="S5" s="5"/>
      <c r="T5" s="5"/>
      <c r="U5" s="5"/>
      <c r="V5" s="5"/>
      <c r="W5" s="5"/>
      <c r="X5" s="5"/>
      <c r="Y5" s="5"/>
      <c r="Z5" s="5"/>
    </row>
    <row r="6">
      <c r="A6" s="73" t="s">
        <v>1706</v>
      </c>
      <c r="B6" s="52" t="s">
        <v>1707</v>
      </c>
      <c r="C6" s="72" t="s">
        <v>40</v>
      </c>
      <c r="D6" s="57" t="s">
        <v>41</v>
      </c>
      <c r="E6" s="52" t="s">
        <v>1708</v>
      </c>
      <c r="F6" s="52" t="s">
        <v>1709</v>
      </c>
      <c r="G6" s="52" t="s">
        <v>1710</v>
      </c>
      <c r="H6" s="57" t="s">
        <v>45</v>
      </c>
      <c r="I6" s="52"/>
      <c r="J6" s="5"/>
      <c r="K6" s="5"/>
      <c r="L6" s="5"/>
      <c r="M6" s="5"/>
      <c r="N6" s="5"/>
      <c r="O6" s="5"/>
      <c r="P6" s="5"/>
      <c r="Q6" s="5"/>
      <c r="R6" s="5"/>
      <c r="S6" s="5"/>
      <c r="T6" s="5"/>
      <c r="U6" s="5"/>
      <c r="V6" s="5"/>
      <c r="W6" s="5"/>
      <c r="X6" s="5"/>
      <c r="Y6" s="5"/>
      <c r="Z6" s="5"/>
    </row>
    <row r="7">
      <c r="A7" s="73" t="s">
        <v>1711</v>
      </c>
      <c r="B7" s="53" t="s">
        <v>1712</v>
      </c>
      <c r="C7" s="72" t="s">
        <v>40</v>
      </c>
      <c r="D7" s="56" t="s">
        <v>41</v>
      </c>
      <c r="E7" s="53" t="s">
        <v>1713</v>
      </c>
      <c r="F7" s="53" t="s">
        <v>1714</v>
      </c>
      <c r="G7" s="53" t="s">
        <v>1715</v>
      </c>
      <c r="H7" s="56" t="s">
        <v>45</v>
      </c>
      <c r="I7" s="53"/>
      <c r="J7" s="5"/>
      <c r="K7" s="5"/>
      <c r="L7" s="5"/>
      <c r="M7" s="5"/>
      <c r="N7" s="5"/>
      <c r="O7" s="5"/>
      <c r="P7" s="5"/>
      <c r="Q7" s="5"/>
      <c r="R7" s="5"/>
      <c r="S7" s="5"/>
      <c r="T7" s="5"/>
      <c r="U7" s="5"/>
      <c r="V7" s="5"/>
      <c r="W7" s="5"/>
      <c r="X7" s="5"/>
      <c r="Y7" s="5"/>
      <c r="Z7" s="5"/>
    </row>
    <row r="8">
      <c r="A8" s="58" t="s">
        <v>1716</v>
      </c>
      <c r="B8" s="52" t="s">
        <v>1717</v>
      </c>
      <c r="C8" s="74" t="s">
        <v>53</v>
      </c>
      <c r="D8" s="57" t="s">
        <v>41</v>
      </c>
      <c r="E8" s="52" t="s">
        <v>1718</v>
      </c>
      <c r="F8" s="52" t="s">
        <v>1719</v>
      </c>
      <c r="G8" s="52" t="s">
        <v>1720</v>
      </c>
      <c r="H8" s="57" t="s">
        <v>45</v>
      </c>
      <c r="I8" s="52"/>
      <c r="J8" s="5"/>
      <c r="K8" s="5"/>
      <c r="L8" s="5"/>
      <c r="M8" s="5"/>
      <c r="N8" s="5"/>
      <c r="O8" s="5"/>
      <c r="P8" s="5"/>
      <c r="Q8" s="5"/>
      <c r="R8" s="5"/>
      <c r="S8" s="5"/>
      <c r="T8" s="5"/>
      <c r="U8" s="5"/>
      <c r="V8" s="5"/>
      <c r="W8" s="5"/>
      <c r="X8" s="5"/>
      <c r="Y8" s="5"/>
      <c r="Z8" s="5"/>
    </row>
    <row r="9">
      <c r="A9" s="75" t="s">
        <v>1721</v>
      </c>
      <c r="B9" s="53" t="s">
        <v>1722</v>
      </c>
      <c r="C9" s="72" t="s">
        <v>40</v>
      </c>
      <c r="D9" s="56" t="s">
        <v>360</v>
      </c>
      <c r="E9" s="53" t="s">
        <v>1723</v>
      </c>
      <c r="F9" s="53" t="s">
        <v>1724</v>
      </c>
      <c r="G9" s="53" t="s">
        <v>1725</v>
      </c>
      <c r="H9" s="56" t="s">
        <v>45</v>
      </c>
      <c r="I9" s="53"/>
      <c r="J9" s="5"/>
      <c r="K9" s="5"/>
      <c r="L9" s="5"/>
      <c r="M9" s="5"/>
      <c r="N9" s="5"/>
      <c r="O9" s="5"/>
      <c r="P9" s="5"/>
      <c r="Q9" s="5"/>
      <c r="R9" s="5"/>
      <c r="S9" s="5"/>
      <c r="T9" s="5"/>
      <c r="U9" s="5"/>
      <c r="V9" s="5"/>
      <c r="W9" s="5"/>
      <c r="X9" s="5"/>
      <c r="Y9" s="5"/>
      <c r="Z9" s="5"/>
    </row>
    <row r="10">
      <c r="A10" s="58" t="s">
        <v>1726</v>
      </c>
      <c r="B10" s="52" t="s">
        <v>1727</v>
      </c>
      <c r="C10" s="72" t="s">
        <v>40</v>
      </c>
      <c r="D10" s="57" t="s">
        <v>360</v>
      </c>
      <c r="E10" s="52" t="s">
        <v>1728</v>
      </c>
      <c r="F10" s="52" t="s">
        <v>1729</v>
      </c>
      <c r="G10" s="52" t="s">
        <v>1730</v>
      </c>
      <c r="H10" s="57" t="s">
        <v>45</v>
      </c>
      <c r="I10" s="52"/>
      <c r="J10" s="5"/>
      <c r="K10" s="5"/>
      <c r="L10" s="5"/>
      <c r="M10" s="5"/>
      <c r="N10" s="5"/>
      <c r="O10" s="5"/>
      <c r="P10" s="5"/>
      <c r="Q10" s="5"/>
      <c r="R10" s="5"/>
      <c r="S10" s="5"/>
      <c r="T10" s="5"/>
      <c r="U10" s="5"/>
      <c r="V10" s="5"/>
      <c r="W10" s="5"/>
      <c r="X10" s="5"/>
      <c r="Y10" s="5"/>
      <c r="Z10" s="5"/>
    </row>
    <row r="11">
      <c r="A11" s="75" t="s">
        <v>1731</v>
      </c>
      <c r="B11" s="53" t="s">
        <v>1732</v>
      </c>
      <c r="C11" s="72" t="s">
        <v>40</v>
      </c>
      <c r="D11" s="56" t="s">
        <v>41</v>
      </c>
      <c r="E11" s="53" t="s">
        <v>1733</v>
      </c>
      <c r="F11" s="53" t="s">
        <v>1734</v>
      </c>
      <c r="G11" s="53" t="s">
        <v>1735</v>
      </c>
      <c r="H11" s="56" t="s">
        <v>45</v>
      </c>
      <c r="I11" s="53"/>
      <c r="J11" s="5"/>
      <c r="K11" s="5"/>
      <c r="L11" s="5"/>
      <c r="M11" s="5"/>
      <c r="N11" s="5"/>
      <c r="O11" s="5"/>
      <c r="P11" s="5"/>
      <c r="Q11" s="5"/>
      <c r="R11" s="5"/>
      <c r="S11" s="5"/>
      <c r="T11" s="5"/>
      <c r="U11" s="5"/>
      <c r="V11" s="5"/>
      <c r="W11" s="5"/>
      <c r="X11" s="5"/>
      <c r="Y11" s="5"/>
      <c r="Z11" s="5"/>
    </row>
    <row r="12">
      <c r="A12" s="58" t="s">
        <v>1736</v>
      </c>
      <c r="B12" s="52" t="s">
        <v>1737</v>
      </c>
      <c r="C12" s="72" t="s">
        <v>40</v>
      </c>
      <c r="D12" s="57" t="s">
        <v>1738</v>
      </c>
      <c r="E12" s="52" t="s">
        <v>1739</v>
      </c>
      <c r="F12" s="52" t="s">
        <v>1740</v>
      </c>
      <c r="G12" s="52" t="s">
        <v>1741</v>
      </c>
      <c r="H12" s="57" t="s">
        <v>45</v>
      </c>
      <c r="I12" s="52"/>
      <c r="J12" s="5"/>
      <c r="K12" s="5"/>
      <c r="L12" s="5"/>
      <c r="M12" s="5"/>
      <c r="N12" s="5"/>
      <c r="O12" s="5"/>
      <c r="P12" s="5"/>
      <c r="Q12" s="5"/>
      <c r="R12" s="5"/>
      <c r="S12" s="5"/>
      <c r="T12" s="5"/>
      <c r="U12" s="5"/>
      <c r="V12" s="5"/>
      <c r="W12" s="5"/>
      <c r="X12" s="5"/>
      <c r="Y12" s="5"/>
      <c r="Z12" s="5"/>
    </row>
    <row r="13">
      <c r="A13" s="75" t="s">
        <v>1742</v>
      </c>
      <c r="B13" s="53" t="s">
        <v>1743</v>
      </c>
      <c r="C13" s="72" t="s">
        <v>40</v>
      </c>
      <c r="D13" s="56" t="s">
        <v>41</v>
      </c>
      <c r="E13" s="53" t="s">
        <v>1744</v>
      </c>
      <c r="F13" s="53" t="s">
        <v>1745</v>
      </c>
      <c r="G13" s="53" t="s">
        <v>1746</v>
      </c>
      <c r="H13" s="56" t="s">
        <v>45</v>
      </c>
      <c r="I13" s="53"/>
      <c r="J13" s="5"/>
      <c r="K13" s="5"/>
      <c r="L13" s="5"/>
      <c r="M13" s="5"/>
      <c r="N13" s="5"/>
      <c r="O13" s="5"/>
      <c r="P13" s="5"/>
      <c r="Q13" s="5"/>
      <c r="R13" s="5"/>
      <c r="S13" s="5"/>
      <c r="T13" s="5"/>
      <c r="U13" s="5"/>
      <c r="V13" s="5"/>
      <c r="W13" s="5"/>
      <c r="X13" s="5"/>
      <c r="Y13" s="5"/>
      <c r="Z13" s="5"/>
    </row>
    <row r="14">
      <c r="A14" s="58" t="s">
        <v>1747</v>
      </c>
      <c r="B14" s="52" t="s">
        <v>1748</v>
      </c>
      <c r="C14" s="72" t="s">
        <v>40</v>
      </c>
      <c r="D14" s="57" t="s">
        <v>41</v>
      </c>
      <c r="E14" s="52" t="s">
        <v>1749</v>
      </c>
      <c r="F14" s="52" t="s">
        <v>1750</v>
      </c>
      <c r="G14" s="52" t="s">
        <v>1751</v>
      </c>
      <c r="H14" s="57" t="s">
        <v>45</v>
      </c>
      <c r="I14" s="52"/>
      <c r="J14" s="5"/>
      <c r="K14" s="5"/>
      <c r="L14" s="5"/>
      <c r="M14" s="5"/>
      <c r="N14" s="5"/>
      <c r="O14" s="5"/>
      <c r="P14" s="5"/>
      <c r="Q14" s="5"/>
      <c r="R14" s="5"/>
      <c r="S14" s="5"/>
      <c r="T14" s="5"/>
      <c r="U14" s="5"/>
      <c r="V14" s="5"/>
      <c r="W14" s="5"/>
      <c r="X14" s="5"/>
      <c r="Y14" s="5"/>
      <c r="Z14" s="5"/>
    </row>
    <row r="15">
      <c r="A15" s="75" t="s">
        <v>1752</v>
      </c>
      <c r="B15" s="53" t="s">
        <v>1753</v>
      </c>
      <c r="C15" s="74" t="s">
        <v>53</v>
      </c>
      <c r="D15" s="56" t="s">
        <v>360</v>
      </c>
      <c r="E15" s="53" t="s">
        <v>1754</v>
      </c>
      <c r="F15" s="53" t="s">
        <v>1755</v>
      </c>
      <c r="G15" s="53" t="s">
        <v>1756</v>
      </c>
      <c r="H15" s="56" t="s">
        <v>45</v>
      </c>
      <c r="I15" s="53"/>
      <c r="J15" s="5"/>
      <c r="K15" s="5"/>
      <c r="L15" s="5"/>
      <c r="M15" s="5"/>
      <c r="N15" s="5"/>
      <c r="O15" s="5"/>
      <c r="P15" s="5"/>
      <c r="Q15" s="5"/>
      <c r="R15" s="5"/>
      <c r="S15" s="5"/>
      <c r="T15" s="5"/>
      <c r="U15" s="5"/>
      <c r="V15" s="5"/>
      <c r="W15" s="5"/>
      <c r="X15" s="5"/>
      <c r="Y15" s="5"/>
      <c r="Z15" s="5"/>
    </row>
    <row r="16">
      <c r="A16" s="58" t="s">
        <v>1757</v>
      </c>
      <c r="B16" s="52" t="s">
        <v>1758</v>
      </c>
      <c r="C16" s="74" t="s">
        <v>53</v>
      </c>
      <c r="D16" s="57" t="s">
        <v>41</v>
      </c>
      <c r="E16" s="52" t="s">
        <v>1759</v>
      </c>
      <c r="F16" s="52" t="s">
        <v>1760</v>
      </c>
      <c r="G16" s="52" t="s">
        <v>1761</v>
      </c>
      <c r="H16" s="57" t="s">
        <v>45</v>
      </c>
      <c r="I16" s="52" t="s">
        <v>1762</v>
      </c>
      <c r="J16" s="5"/>
      <c r="K16" s="5"/>
      <c r="L16" s="5"/>
      <c r="M16" s="5"/>
      <c r="N16" s="5"/>
      <c r="O16" s="5"/>
      <c r="P16" s="5"/>
      <c r="Q16" s="5"/>
      <c r="R16" s="5"/>
      <c r="S16" s="5"/>
      <c r="T16" s="5"/>
      <c r="U16" s="5"/>
      <c r="V16" s="5"/>
      <c r="W16" s="5"/>
      <c r="X16" s="5"/>
      <c r="Y16" s="5"/>
      <c r="Z16" s="5"/>
    </row>
    <row r="17">
      <c r="A17" s="75" t="s">
        <v>1763</v>
      </c>
      <c r="B17" s="53" t="s">
        <v>1764</v>
      </c>
      <c r="C17" s="72" t="s">
        <v>40</v>
      </c>
      <c r="D17" s="56" t="s">
        <v>360</v>
      </c>
      <c r="E17" s="53" t="s">
        <v>1765</v>
      </c>
      <c r="F17" s="53" t="s">
        <v>1766</v>
      </c>
      <c r="G17" s="53" t="s">
        <v>1767</v>
      </c>
      <c r="H17" s="56" t="s">
        <v>45</v>
      </c>
      <c r="I17" s="53" t="s">
        <v>1768</v>
      </c>
      <c r="J17" s="5"/>
      <c r="K17" s="5"/>
      <c r="L17" s="5"/>
      <c r="M17" s="5"/>
      <c r="N17" s="5"/>
      <c r="O17" s="5"/>
      <c r="P17" s="5"/>
      <c r="Q17" s="5"/>
      <c r="R17" s="5"/>
      <c r="S17" s="5"/>
      <c r="T17" s="5"/>
      <c r="U17" s="5"/>
      <c r="V17" s="5"/>
      <c r="W17" s="5"/>
      <c r="X17" s="5"/>
      <c r="Y17" s="5"/>
      <c r="Z17" s="5"/>
    </row>
    <row r="18" ht="78.75" customHeight="1">
      <c r="A18" s="58" t="s">
        <v>1769</v>
      </c>
      <c r="B18" s="52" t="s">
        <v>1770</v>
      </c>
      <c r="C18" s="72" t="s">
        <v>40</v>
      </c>
      <c r="D18" s="57" t="s">
        <v>360</v>
      </c>
      <c r="E18" s="52" t="s">
        <v>1771</v>
      </c>
      <c r="F18" s="52" t="s">
        <v>1772</v>
      </c>
      <c r="G18" s="52" t="s">
        <v>1773</v>
      </c>
      <c r="H18" s="57" t="s">
        <v>45</v>
      </c>
      <c r="I18" s="52"/>
      <c r="J18" s="5"/>
      <c r="K18" s="5"/>
      <c r="L18" s="5"/>
      <c r="M18" s="5"/>
      <c r="N18" s="5"/>
      <c r="O18" s="5"/>
      <c r="P18" s="5"/>
      <c r="Q18" s="5"/>
      <c r="R18" s="5"/>
      <c r="S18" s="5"/>
      <c r="T18" s="5"/>
      <c r="U18" s="5"/>
      <c r="V18" s="5"/>
      <c r="W18" s="5"/>
      <c r="X18" s="5"/>
      <c r="Y18" s="5"/>
      <c r="Z18" s="5"/>
    </row>
    <row r="19" ht="78.75" customHeight="1">
      <c r="A19" s="75" t="s">
        <v>1774</v>
      </c>
      <c r="B19" s="53" t="s">
        <v>1775</v>
      </c>
      <c r="C19" s="74" t="s">
        <v>53</v>
      </c>
      <c r="D19" s="56" t="s">
        <v>1738</v>
      </c>
      <c r="E19" s="53" t="s">
        <v>1776</v>
      </c>
      <c r="F19" s="53" t="s">
        <v>1777</v>
      </c>
      <c r="G19" s="53" t="s">
        <v>1778</v>
      </c>
      <c r="H19" s="56" t="s">
        <v>45</v>
      </c>
      <c r="I19" s="53"/>
      <c r="J19" s="5"/>
      <c r="K19" s="5"/>
      <c r="L19" s="5"/>
      <c r="M19" s="5"/>
      <c r="N19" s="5"/>
      <c r="O19" s="5"/>
      <c r="P19" s="5"/>
      <c r="Q19" s="5"/>
      <c r="R19" s="5"/>
      <c r="S19" s="5"/>
      <c r="T19" s="5"/>
      <c r="U19" s="5"/>
      <c r="V19" s="5"/>
      <c r="W19" s="5"/>
      <c r="X19" s="5"/>
      <c r="Y19" s="5"/>
      <c r="Z19" s="5"/>
    </row>
    <row r="20" ht="109.5" customHeight="1">
      <c r="A20" s="58" t="s">
        <v>1779</v>
      </c>
      <c r="B20" s="52" t="s">
        <v>1780</v>
      </c>
      <c r="C20" s="74" t="s">
        <v>53</v>
      </c>
      <c r="D20" s="57" t="s">
        <v>41</v>
      </c>
      <c r="E20" s="52" t="s">
        <v>1781</v>
      </c>
      <c r="F20" s="52" t="s">
        <v>1782</v>
      </c>
      <c r="G20" s="52" t="s">
        <v>1783</v>
      </c>
      <c r="H20" s="57" t="s">
        <v>45</v>
      </c>
      <c r="I20" s="52"/>
      <c r="J20" s="5"/>
      <c r="K20" s="5"/>
      <c r="L20" s="5"/>
      <c r="M20" s="5"/>
      <c r="N20" s="5"/>
      <c r="O20" s="5"/>
      <c r="P20" s="5"/>
      <c r="Q20" s="5"/>
      <c r="R20" s="5"/>
      <c r="S20" s="5"/>
      <c r="T20" s="5"/>
      <c r="U20" s="5"/>
      <c r="V20" s="5"/>
      <c r="W20" s="5"/>
      <c r="X20" s="5"/>
      <c r="Y20" s="5"/>
      <c r="Z20" s="5"/>
    </row>
    <row r="21" ht="78.75" customHeight="1">
      <c r="A21" s="75" t="s">
        <v>1784</v>
      </c>
      <c r="B21" s="53" t="s">
        <v>1785</v>
      </c>
      <c r="C21" s="74" t="s">
        <v>53</v>
      </c>
      <c r="D21" s="56" t="s">
        <v>41</v>
      </c>
      <c r="E21" s="53" t="s">
        <v>1786</v>
      </c>
      <c r="F21" s="53" t="s">
        <v>1787</v>
      </c>
      <c r="G21" s="53" t="s">
        <v>1788</v>
      </c>
      <c r="H21" s="56" t="s">
        <v>45</v>
      </c>
      <c r="I21" s="53"/>
      <c r="J21" s="5"/>
      <c r="K21" s="5"/>
      <c r="L21" s="5"/>
      <c r="M21" s="5"/>
      <c r="N21" s="5"/>
      <c r="O21" s="5"/>
      <c r="P21" s="5"/>
      <c r="Q21" s="5"/>
      <c r="R21" s="5"/>
      <c r="S21" s="5"/>
      <c r="T21" s="5"/>
      <c r="U21" s="5"/>
      <c r="V21" s="5"/>
      <c r="W21" s="5"/>
      <c r="X21" s="5"/>
      <c r="Y21" s="5"/>
      <c r="Z21" s="5"/>
    </row>
    <row r="22" ht="78.75" customHeight="1">
      <c r="A22" s="58" t="s">
        <v>1789</v>
      </c>
      <c r="B22" s="52" t="s">
        <v>1790</v>
      </c>
      <c r="C22" s="72" t="s">
        <v>40</v>
      </c>
      <c r="D22" s="57" t="s">
        <v>41</v>
      </c>
      <c r="E22" s="52" t="s">
        <v>1791</v>
      </c>
      <c r="F22" s="52" t="s">
        <v>1792</v>
      </c>
      <c r="G22" s="52" t="s">
        <v>1793</v>
      </c>
      <c r="H22" s="57" t="s">
        <v>45</v>
      </c>
      <c r="I22" s="52"/>
      <c r="J22" s="5"/>
      <c r="K22" s="5"/>
      <c r="L22" s="5"/>
      <c r="M22" s="5"/>
      <c r="N22" s="5"/>
      <c r="O22" s="5"/>
      <c r="P22" s="5"/>
      <c r="Q22" s="5"/>
      <c r="R22" s="5"/>
      <c r="S22" s="5"/>
      <c r="T22" s="5"/>
      <c r="U22" s="5"/>
      <c r="V22" s="5"/>
      <c r="W22" s="5"/>
      <c r="X22" s="5"/>
      <c r="Y22" s="5"/>
      <c r="Z22" s="5"/>
    </row>
    <row r="23" ht="78.75" customHeight="1">
      <c r="A23" s="58" t="s">
        <v>1794</v>
      </c>
      <c r="B23" s="52" t="s">
        <v>1795</v>
      </c>
      <c r="C23" s="74" t="s">
        <v>53</v>
      </c>
      <c r="D23" s="57" t="s">
        <v>41</v>
      </c>
      <c r="E23" s="52" t="s">
        <v>1796</v>
      </c>
      <c r="F23" s="52" t="s">
        <v>1797</v>
      </c>
      <c r="G23" s="52" t="s">
        <v>1798</v>
      </c>
      <c r="H23" s="57" t="s">
        <v>45</v>
      </c>
      <c r="I23" s="52" t="s">
        <v>1799</v>
      </c>
      <c r="J23" s="5"/>
      <c r="K23" s="5"/>
      <c r="L23" s="5"/>
      <c r="M23" s="5"/>
      <c r="N23" s="5"/>
      <c r="O23" s="5"/>
      <c r="P23" s="5"/>
      <c r="Q23" s="5"/>
      <c r="R23" s="5"/>
      <c r="S23" s="5"/>
      <c r="T23" s="5"/>
      <c r="U23" s="5"/>
      <c r="V23" s="5"/>
      <c r="W23" s="5"/>
      <c r="X23" s="5"/>
      <c r="Y23" s="5"/>
      <c r="Z23" s="5"/>
    </row>
    <row r="24" ht="15.75" customHeight="1">
      <c r="A24" s="75"/>
      <c r="B24" s="53"/>
      <c r="C24" s="72"/>
      <c r="D24" s="56"/>
      <c r="E24" s="53"/>
      <c r="F24" s="53"/>
      <c r="G24" s="53"/>
      <c r="H24" s="56"/>
      <c r="I24" s="53"/>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A1:I1"/>
    <mergeCell ref="A2:I2"/>
  </mergeCells>
  <conditionalFormatting sqref="A5:I24">
    <cfRule type="expression" dxfId="2" priority="1">
      <formula>$H5="Pass"</formula>
    </cfRule>
  </conditionalFormatting>
  <conditionalFormatting sqref="A5:I24">
    <cfRule type="expression" dxfId="1" priority="2">
      <formula>$H5="Fail"</formula>
    </cfRule>
  </conditionalFormatting>
  <conditionalFormatting sqref="A5:I24">
    <cfRule type="expression" dxfId="0" priority="3">
      <formula>$H5="Blocked"</formula>
    </cfRule>
  </conditionalFormatting>
  <dataValidations>
    <dataValidation type="list" allowBlank="1" sqref="H5:H11">
      <formula1>"Pass,Fail,Blocked,Not Run"</formula1>
    </dataValidation>
  </dataValidations>
  <hyperlinks>
    <hyperlink r:id="rId1" ref="A2"/>
  </hyperlinks>
  <printOptions/>
  <pageMargins bottom="1.0" footer="0.0" header="0.0" left="0.75" right="0.75" top="1.0"/>
  <pageSetup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32.0"/>
    <col customWidth="1" min="3" max="3" width="10.0"/>
    <col customWidth="1" min="4" max="4" width="13.0"/>
    <col customWidth="1" min="5" max="5" width="30.0"/>
    <col customWidth="1" min="6" max="7" width="42.0"/>
    <col customWidth="1" min="8" max="8" width="12.0"/>
    <col customWidth="1" min="9" max="9" width="30.0"/>
  </cols>
  <sheetData>
    <row r="1" ht="31.5" customHeight="1">
      <c r="A1" s="35" t="s">
        <v>1800</v>
      </c>
      <c r="B1" s="3"/>
      <c r="C1" s="3"/>
      <c r="D1" s="3"/>
      <c r="E1" s="3"/>
      <c r="F1" s="3"/>
      <c r="G1" s="3"/>
      <c r="H1" s="3"/>
      <c r="I1" s="4"/>
      <c r="J1" s="5"/>
      <c r="K1" s="5"/>
      <c r="L1" s="5"/>
      <c r="M1" s="5"/>
      <c r="N1" s="5"/>
      <c r="O1" s="5"/>
      <c r="P1" s="5"/>
      <c r="Q1" s="5"/>
      <c r="R1" s="5"/>
      <c r="S1" s="5"/>
      <c r="T1" s="5"/>
      <c r="U1" s="5"/>
      <c r="V1" s="5"/>
      <c r="W1" s="5"/>
      <c r="X1" s="5"/>
      <c r="Y1" s="5"/>
      <c r="Z1" s="5"/>
    </row>
    <row r="2" ht="15.75" customHeight="1">
      <c r="A2" s="36" t="s">
        <v>1801</v>
      </c>
      <c r="B2" s="3"/>
      <c r="C2" s="3"/>
      <c r="D2" s="3"/>
      <c r="E2" s="3"/>
      <c r="F2" s="3"/>
      <c r="G2" s="3"/>
      <c r="H2" s="3"/>
      <c r="I2" s="4"/>
      <c r="J2" s="5"/>
      <c r="K2" s="5"/>
      <c r="L2" s="5"/>
      <c r="M2" s="5"/>
      <c r="N2" s="5"/>
      <c r="O2" s="5"/>
      <c r="P2" s="5"/>
      <c r="Q2" s="5"/>
      <c r="R2" s="5"/>
      <c r="S2" s="5"/>
      <c r="T2" s="5"/>
      <c r="U2" s="5"/>
      <c r="V2" s="5"/>
      <c r="W2" s="5"/>
      <c r="X2" s="5"/>
      <c r="Y2" s="5"/>
      <c r="Z2" s="5"/>
    </row>
    <row r="3" ht="7.5" customHeight="1">
      <c r="A3" s="5"/>
      <c r="B3" s="5"/>
      <c r="C3" s="5"/>
      <c r="D3" s="5"/>
      <c r="E3" s="5"/>
      <c r="F3" s="5"/>
      <c r="G3" s="5"/>
      <c r="H3" s="5"/>
      <c r="I3" s="5"/>
      <c r="J3" s="5"/>
      <c r="K3" s="5"/>
      <c r="L3" s="5"/>
      <c r="M3" s="5"/>
      <c r="N3" s="5"/>
      <c r="O3" s="5"/>
      <c r="P3" s="5"/>
      <c r="Q3" s="5"/>
      <c r="R3" s="5"/>
      <c r="S3" s="5"/>
      <c r="T3" s="5"/>
      <c r="U3" s="5"/>
      <c r="V3" s="5"/>
      <c r="W3" s="5"/>
      <c r="X3" s="5"/>
      <c r="Y3" s="5"/>
      <c r="Z3" s="5"/>
    </row>
    <row r="4" ht="21.75" customHeight="1">
      <c r="A4" s="37" t="s">
        <v>29</v>
      </c>
      <c r="B4" s="37" t="s">
        <v>30</v>
      </c>
      <c r="C4" s="37" t="s">
        <v>31</v>
      </c>
      <c r="D4" s="37" t="s">
        <v>32</v>
      </c>
      <c r="E4" s="37" t="s">
        <v>33</v>
      </c>
      <c r="F4" s="37" t="s">
        <v>34</v>
      </c>
      <c r="G4" s="37" t="s">
        <v>35</v>
      </c>
      <c r="H4" s="37" t="s">
        <v>36</v>
      </c>
      <c r="I4" s="37" t="s">
        <v>37</v>
      </c>
      <c r="J4" s="5"/>
      <c r="K4" s="5"/>
      <c r="L4" s="5"/>
      <c r="M4" s="5"/>
      <c r="N4" s="5"/>
      <c r="O4" s="5"/>
      <c r="P4" s="5"/>
      <c r="Q4" s="5"/>
      <c r="R4" s="5"/>
      <c r="S4" s="5"/>
      <c r="T4" s="5"/>
      <c r="U4" s="5"/>
      <c r="V4" s="5"/>
      <c r="W4" s="5"/>
      <c r="X4" s="5"/>
      <c r="Y4" s="5"/>
      <c r="Z4" s="5"/>
    </row>
    <row r="5">
      <c r="A5" s="76" t="s">
        <v>1802</v>
      </c>
      <c r="B5" s="77"/>
      <c r="C5" s="77"/>
      <c r="D5" s="77"/>
      <c r="E5" s="77"/>
      <c r="F5" s="77"/>
      <c r="G5" s="77"/>
      <c r="H5" s="77"/>
      <c r="I5" s="78"/>
      <c r="J5" s="5"/>
      <c r="K5" s="5"/>
      <c r="L5" s="5"/>
      <c r="M5" s="5"/>
      <c r="N5" s="5"/>
      <c r="O5" s="5"/>
      <c r="P5" s="5"/>
      <c r="Q5" s="5"/>
      <c r="R5" s="5"/>
      <c r="S5" s="5"/>
      <c r="T5" s="5"/>
      <c r="U5" s="5"/>
      <c r="V5" s="5"/>
      <c r="W5" s="5"/>
      <c r="X5" s="5"/>
      <c r="Y5" s="5"/>
      <c r="Z5" s="5"/>
    </row>
    <row r="6">
      <c r="A6" s="38" t="s">
        <v>1803</v>
      </c>
      <c r="B6" s="50" t="s">
        <v>1804</v>
      </c>
      <c r="C6" s="40" t="s">
        <v>40</v>
      </c>
      <c r="D6" s="68" t="s">
        <v>41</v>
      </c>
      <c r="E6" s="50" t="s">
        <v>529</v>
      </c>
      <c r="F6" s="50" t="s">
        <v>1805</v>
      </c>
      <c r="G6" s="50" t="s">
        <v>1806</v>
      </c>
      <c r="H6" s="68" t="s">
        <v>45</v>
      </c>
      <c r="I6" s="50" t="s">
        <v>1807</v>
      </c>
      <c r="J6" s="5"/>
      <c r="K6" s="5"/>
      <c r="L6" s="5"/>
      <c r="M6" s="5"/>
      <c r="N6" s="5"/>
      <c r="O6" s="5"/>
      <c r="P6" s="5"/>
      <c r="Q6" s="5"/>
      <c r="R6" s="5"/>
      <c r="S6" s="5"/>
      <c r="T6" s="5"/>
      <c r="U6" s="5"/>
      <c r="V6" s="5"/>
      <c r="W6" s="5"/>
      <c r="X6" s="5"/>
      <c r="Y6" s="5"/>
      <c r="Z6" s="5"/>
    </row>
    <row r="7">
      <c r="A7" s="42" t="s">
        <v>1808</v>
      </c>
      <c r="B7" s="43" t="s">
        <v>1809</v>
      </c>
      <c r="C7" s="40" t="s">
        <v>40</v>
      </c>
      <c r="D7" s="44" t="s">
        <v>41</v>
      </c>
      <c r="E7" s="43" t="s">
        <v>75</v>
      </c>
      <c r="F7" s="43" t="s">
        <v>1810</v>
      </c>
      <c r="G7" s="43" t="s">
        <v>1811</v>
      </c>
      <c r="H7" s="44" t="s">
        <v>45</v>
      </c>
      <c r="I7" s="43" t="s">
        <v>1812</v>
      </c>
      <c r="J7" s="5"/>
      <c r="K7" s="5"/>
      <c r="L7" s="5"/>
      <c r="M7" s="5"/>
      <c r="N7" s="5"/>
      <c r="O7" s="5"/>
      <c r="P7" s="5"/>
      <c r="Q7" s="5"/>
      <c r="R7" s="5"/>
      <c r="S7" s="5"/>
      <c r="T7" s="5"/>
      <c r="U7" s="5"/>
      <c r="V7" s="5"/>
      <c r="W7" s="5"/>
      <c r="X7" s="5"/>
      <c r="Y7" s="5"/>
      <c r="Z7" s="5"/>
    </row>
    <row r="8">
      <c r="A8" s="38" t="s">
        <v>1813</v>
      </c>
      <c r="B8" s="50" t="s">
        <v>1814</v>
      </c>
      <c r="C8" s="40" t="s">
        <v>40</v>
      </c>
      <c r="D8" s="68" t="s">
        <v>41</v>
      </c>
      <c r="E8" s="50" t="s">
        <v>1815</v>
      </c>
      <c r="F8" s="50" t="s">
        <v>1816</v>
      </c>
      <c r="G8" s="50" t="s">
        <v>1817</v>
      </c>
      <c r="H8" s="68" t="s">
        <v>45</v>
      </c>
      <c r="I8" s="50" t="s">
        <v>1818</v>
      </c>
      <c r="J8" s="5"/>
      <c r="K8" s="5"/>
      <c r="L8" s="5"/>
      <c r="M8" s="5"/>
      <c r="N8" s="5"/>
      <c r="O8" s="5"/>
      <c r="P8" s="5"/>
      <c r="Q8" s="5"/>
      <c r="R8" s="5"/>
      <c r="S8" s="5"/>
      <c r="T8" s="5"/>
      <c r="U8" s="5"/>
      <c r="V8" s="5"/>
      <c r="W8" s="5"/>
      <c r="X8" s="5"/>
      <c r="Y8" s="5"/>
      <c r="Z8" s="5"/>
    </row>
    <row r="9">
      <c r="A9" s="42" t="s">
        <v>1819</v>
      </c>
      <c r="B9" s="43" t="s">
        <v>1820</v>
      </c>
      <c r="C9" s="45" t="s">
        <v>53</v>
      </c>
      <c r="D9" s="44" t="s">
        <v>41</v>
      </c>
      <c r="E9" s="43" t="s">
        <v>1821</v>
      </c>
      <c r="F9" s="43" t="s">
        <v>1822</v>
      </c>
      <c r="G9" s="43" t="s">
        <v>1823</v>
      </c>
      <c r="H9" s="44" t="s">
        <v>45</v>
      </c>
      <c r="I9" s="43" t="s">
        <v>1824</v>
      </c>
      <c r="J9" s="5"/>
      <c r="K9" s="5"/>
      <c r="L9" s="5"/>
      <c r="M9" s="5"/>
      <c r="N9" s="5"/>
      <c r="O9" s="5"/>
      <c r="P9" s="5"/>
      <c r="Q9" s="5"/>
      <c r="R9" s="5"/>
      <c r="S9" s="5"/>
      <c r="T9" s="5"/>
      <c r="U9" s="5"/>
      <c r="V9" s="5"/>
      <c r="W9" s="5"/>
      <c r="X9" s="5"/>
      <c r="Y9" s="5"/>
      <c r="Z9" s="5"/>
    </row>
    <row r="10">
      <c r="A10" s="38" t="s">
        <v>1825</v>
      </c>
      <c r="B10" s="50" t="s">
        <v>1826</v>
      </c>
      <c r="C10" s="46" t="s">
        <v>74</v>
      </c>
      <c r="D10" s="68" t="s">
        <v>41</v>
      </c>
      <c r="E10" s="50" t="s">
        <v>1827</v>
      </c>
      <c r="F10" s="50" t="s">
        <v>1828</v>
      </c>
      <c r="G10" s="50" t="s">
        <v>1829</v>
      </c>
      <c r="H10" s="68" t="s">
        <v>45</v>
      </c>
      <c r="I10" s="50" t="s">
        <v>1830</v>
      </c>
      <c r="J10" s="5"/>
      <c r="K10" s="5"/>
      <c r="L10" s="5"/>
      <c r="M10" s="5"/>
      <c r="N10" s="5"/>
      <c r="O10" s="5"/>
      <c r="P10" s="5"/>
      <c r="Q10" s="5"/>
      <c r="R10" s="5"/>
      <c r="S10" s="5"/>
      <c r="T10" s="5"/>
      <c r="U10" s="5"/>
      <c r="V10" s="5"/>
      <c r="W10" s="5"/>
      <c r="X10" s="5"/>
      <c r="Y10" s="5"/>
      <c r="Z10" s="5"/>
    </row>
    <row r="11">
      <c r="A11" s="42" t="s">
        <v>1831</v>
      </c>
      <c r="B11" s="43" t="s">
        <v>1832</v>
      </c>
      <c r="C11" s="45" t="s">
        <v>53</v>
      </c>
      <c r="D11" s="44" t="s">
        <v>41</v>
      </c>
      <c r="E11" s="43" t="s">
        <v>1833</v>
      </c>
      <c r="F11" s="43" t="s">
        <v>1834</v>
      </c>
      <c r="G11" s="43" t="s">
        <v>1835</v>
      </c>
      <c r="H11" s="44" t="s">
        <v>45</v>
      </c>
      <c r="I11" s="43" t="s">
        <v>1836</v>
      </c>
      <c r="J11" s="5"/>
      <c r="K11" s="5"/>
      <c r="L11" s="5"/>
      <c r="M11" s="5"/>
      <c r="N11" s="5"/>
      <c r="O11" s="5"/>
      <c r="P11" s="5"/>
      <c r="Q11" s="5"/>
      <c r="R11" s="5"/>
      <c r="S11" s="5"/>
      <c r="T11" s="5"/>
      <c r="U11" s="5"/>
      <c r="V11" s="5"/>
      <c r="W11" s="5"/>
      <c r="X11" s="5"/>
      <c r="Y11" s="5"/>
      <c r="Z11" s="5"/>
    </row>
    <row r="12">
      <c r="A12" s="5"/>
      <c r="B12" s="79" t="s">
        <v>1837</v>
      </c>
      <c r="C12" s="5"/>
      <c r="D12" s="5"/>
      <c r="E12" s="48"/>
      <c r="F12" s="48"/>
      <c r="G12" s="48"/>
      <c r="H12" s="80"/>
      <c r="I12" s="48"/>
      <c r="J12" s="5"/>
      <c r="K12" s="5"/>
      <c r="L12" s="5"/>
      <c r="M12" s="5"/>
      <c r="N12" s="5"/>
      <c r="O12" s="5"/>
      <c r="P12" s="5"/>
      <c r="Q12" s="5"/>
      <c r="R12" s="5"/>
      <c r="S12" s="5"/>
      <c r="T12" s="5"/>
      <c r="U12" s="5"/>
      <c r="V12" s="5"/>
      <c r="W12" s="5"/>
      <c r="X12" s="5"/>
      <c r="Y12" s="5"/>
      <c r="Z12" s="5"/>
    </row>
    <row r="13">
      <c r="A13" s="5"/>
      <c r="B13" s="79" t="s">
        <v>1838</v>
      </c>
      <c r="C13" s="5"/>
      <c r="D13" s="5"/>
      <c r="E13" s="48"/>
      <c r="F13" s="48"/>
      <c r="G13" s="48"/>
      <c r="H13" s="80"/>
      <c r="I13" s="48"/>
      <c r="J13" s="5"/>
      <c r="K13" s="5"/>
      <c r="L13" s="5"/>
      <c r="M13" s="5"/>
      <c r="N13" s="5"/>
      <c r="O13" s="5"/>
      <c r="P13" s="5"/>
      <c r="Q13" s="5"/>
      <c r="R13" s="5"/>
      <c r="S13" s="5"/>
      <c r="T13" s="5"/>
      <c r="U13" s="5"/>
      <c r="V13" s="5"/>
      <c r="W13" s="5"/>
      <c r="X13" s="5"/>
      <c r="Y13" s="5"/>
      <c r="Z13" s="5"/>
    </row>
    <row r="14">
      <c r="A14" s="5"/>
      <c r="B14" s="48"/>
      <c r="C14" s="5"/>
      <c r="D14" s="5"/>
      <c r="E14" s="48"/>
      <c r="F14" s="48"/>
      <c r="G14" s="48"/>
      <c r="H14" s="80"/>
      <c r="I14" s="48"/>
      <c r="J14" s="5"/>
      <c r="K14" s="5"/>
      <c r="L14" s="5"/>
      <c r="M14" s="5"/>
      <c r="N14" s="5"/>
      <c r="O14" s="5"/>
      <c r="P14" s="5"/>
      <c r="Q14" s="5"/>
      <c r="R14" s="5"/>
      <c r="S14" s="5"/>
      <c r="T14" s="5"/>
      <c r="U14" s="5"/>
      <c r="V14" s="5"/>
      <c r="W14" s="5"/>
      <c r="X14" s="5"/>
      <c r="Y14" s="5"/>
      <c r="Z14" s="5"/>
    </row>
    <row r="15">
      <c r="A15" s="76" t="s">
        <v>1839</v>
      </c>
      <c r="B15" s="77"/>
      <c r="C15" s="77"/>
      <c r="D15" s="77"/>
      <c r="E15" s="77"/>
      <c r="F15" s="77"/>
      <c r="G15" s="77"/>
      <c r="H15" s="77"/>
      <c r="I15" s="78"/>
      <c r="J15" s="5"/>
      <c r="K15" s="5"/>
      <c r="L15" s="5"/>
      <c r="M15" s="5"/>
      <c r="N15" s="5"/>
      <c r="O15" s="5"/>
      <c r="P15" s="5"/>
      <c r="Q15" s="5"/>
      <c r="R15" s="5"/>
      <c r="S15" s="5"/>
      <c r="T15" s="5"/>
      <c r="U15" s="5"/>
      <c r="V15" s="5"/>
      <c r="W15" s="5"/>
      <c r="X15" s="5"/>
      <c r="Y15" s="5"/>
      <c r="Z15" s="5"/>
    </row>
    <row r="16">
      <c r="A16" s="42" t="s">
        <v>1840</v>
      </c>
      <c r="B16" s="43" t="s">
        <v>1841</v>
      </c>
      <c r="C16" s="40" t="s">
        <v>40</v>
      </c>
      <c r="D16" s="44" t="s">
        <v>41</v>
      </c>
      <c r="E16" s="43" t="s">
        <v>1842</v>
      </c>
      <c r="F16" s="43" t="s">
        <v>1843</v>
      </c>
      <c r="G16" s="43" t="s">
        <v>1844</v>
      </c>
      <c r="H16" s="44" t="s">
        <v>45</v>
      </c>
      <c r="I16" s="43"/>
      <c r="J16" s="5"/>
      <c r="K16" s="5"/>
      <c r="L16" s="5"/>
      <c r="M16" s="5"/>
      <c r="N16" s="5"/>
      <c r="O16" s="5"/>
      <c r="P16" s="5"/>
      <c r="Q16" s="5"/>
      <c r="R16" s="5"/>
      <c r="S16" s="5"/>
      <c r="T16" s="5"/>
      <c r="U16" s="5"/>
      <c r="V16" s="5"/>
      <c r="W16" s="5"/>
      <c r="X16" s="5"/>
      <c r="Y16" s="5"/>
      <c r="Z16" s="5"/>
    </row>
    <row r="17">
      <c r="A17" s="38" t="s">
        <v>1845</v>
      </c>
      <c r="B17" s="39" t="s">
        <v>1846</v>
      </c>
      <c r="C17" s="40" t="s">
        <v>40</v>
      </c>
      <c r="D17" s="41" t="s">
        <v>41</v>
      </c>
      <c r="E17" s="39" t="s">
        <v>1847</v>
      </c>
      <c r="F17" s="39" t="s">
        <v>1848</v>
      </c>
      <c r="G17" s="39" t="s">
        <v>1849</v>
      </c>
      <c r="H17" s="41" t="s">
        <v>45</v>
      </c>
      <c r="I17" s="39"/>
      <c r="J17" s="5"/>
      <c r="K17" s="5"/>
      <c r="L17" s="5"/>
      <c r="M17" s="5"/>
      <c r="N17" s="5"/>
      <c r="O17" s="5"/>
      <c r="P17" s="5"/>
      <c r="Q17" s="5"/>
      <c r="R17" s="5"/>
      <c r="S17" s="5"/>
      <c r="T17" s="5"/>
      <c r="U17" s="5"/>
      <c r="V17" s="5"/>
      <c r="W17" s="5"/>
      <c r="X17" s="5"/>
      <c r="Y17" s="5"/>
      <c r="Z17" s="5"/>
    </row>
    <row r="18">
      <c r="A18" s="42" t="s">
        <v>1850</v>
      </c>
      <c r="B18" s="43" t="s">
        <v>1851</v>
      </c>
      <c r="C18" s="45" t="s">
        <v>53</v>
      </c>
      <c r="D18" s="44" t="s">
        <v>41</v>
      </c>
      <c r="E18" s="43" t="s">
        <v>1852</v>
      </c>
      <c r="F18" s="43" t="s">
        <v>1853</v>
      </c>
      <c r="G18" s="52" t="s">
        <v>1854</v>
      </c>
      <c r="H18" s="44" t="s">
        <v>45</v>
      </c>
      <c r="I18" s="52" t="s">
        <v>1855</v>
      </c>
      <c r="J18" s="5"/>
      <c r="K18" s="5"/>
      <c r="L18" s="5"/>
      <c r="M18" s="5"/>
      <c r="N18" s="5"/>
      <c r="O18" s="5"/>
      <c r="P18" s="5"/>
      <c r="Q18" s="5"/>
      <c r="R18" s="5"/>
      <c r="S18" s="5"/>
      <c r="T18" s="5"/>
      <c r="U18" s="5"/>
      <c r="V18" s="5"/>
      <c r="W18" s="5"/>
      <c r="X18" s="5"/>
      <c r="Y18" s="5"/>
      <c r="Z18" s="5"/>
    </row>
    <row r="19">
      <c r="A19" s="42" t="s">
        <v>1856</v>
      </c>
      <c r="B19" s="43" t="s">
        <v>1857</v>
      </c>
      <c r="C19" s="45" t="s">
        <v>53</v>
      </c>
      <c r="D19" s="44" t="s">
        <v>41</v>
      </c>
      <c r="E19" s="43" t="s">
        <v>1858</v>
      </c>
      <c r="F19" s="43" t="s">
        <v>1859</v>
      </c>
      <c r="G19" s="43" t="s">
        <v>1860</v>
      </c>
      <c r="H19" s="44" t="s">
        <v>45</v>
      </c>
      <c r="I19" s="43"/>
      <c r="J19" s="5"/>
      <c r="K19" s="5"/>
      <c r="L19" s="5"/>
      <c r="M19" s="5"/>
      <c r="N19" s="5"/>
      <c r="O19" s="5"/>
      <c r="P19" s="5"/>
      <c r="Q19" s="5"/>
      <c r="R19" s="5"/>
      <c r="S19" s="5"/>
      <c r="T19" s="5"/>
      <c r="U19" s="5"/>
      <c r="V19" s="5"/>
      <c r="W19" s="5"/>
      <c r="X19" s="5"/>
      <c r="Y19" s="5"/>
      <c r="Z19" s="5"/>
    </row>
    <row r="20">
      <c r="A20" s="38" t="s">
        <v>1861</v>
      </c>
      <c r="B20" s="39" t="s">
        <v>1862</v>
      </c>
      <c r="C20" s="46" t="s">
        <v>74</v>
      </c>
      <c r="D20" s="41" t="s">
        <v>41</v>
      </c>
      <c r="E20" s="39" t="s">
        <v>1863</v>
      </c>
      <c r="F20" s="39" t="s">
        <v>1864</v>
      </c>
      <c r="G20" s="39" t="s">
        <v>1865</v>
      </c>
      <c r="H20" s="41" t="s">
        <v>45</v>
      </c>
      <c r="I20" s="39"/>
      <c r="J20" s="5"/>
      <c r="K20" s="5"/>
      <c r="L20" s="5"/>
      <c r="M20" s="5"/>
      <c r="N20" s="5"/>
      <c r="O20" s="5"/>
      <c r="P20" s="5"/>
      <c r="Q20" s="5"/>
      <c r="R20" s="5"/>
      <c r="S20" s="5"/>
      <c r="T20" s="5"/>
      <c r="U20" s="5"/>
      <c r="V20" s="5"/>
      <c r="W20" s="5"/>
      <c r="X20" s="5"/>
      <c r="Y20" s="5"/>
      <c r="Z20" s="5"/>
    </row>
    <row r="21">
      <c r="A21" s="42" t="s">
        <v>1866</v>
      </c>
      <c r="B21" s="43" t="s">
        <v>1867</v>
      </c>
      <c r="C21" s="45" t="s">
        <v>53</v>
      </c>
      <c r="D21" s="44" t="s">
        <v>41</v>
      </c>
      <c r="E21" s="43" t="s">
        <v>1868</v>
      </c>
      <c r="F21" s="62" t="s">
        <v>1869</v>
      </c>
      <c r="G21" s="52" t="s">
        <v>1870</v>
      </c>
      <c r="H21" s="44" t="s">
        <v>45</v>
      </c>
      <c r="I21" s="43" t="s">
        <v>1871</v>
      </c>
      <c r="J21" s="5"/>
      <c r="K21" s="5"/>
      <c r="L21" s="5"/>
      <c r="M21" s="5"/>
      <c r="N21" s="5"/>
      <c r="O21" s="5"/>
      <c r="P21" s="5"/>
      <c r="Q21" s="5"/>
      <c r="R21" s="5"/>
      <c r="S21" s="5"/>
      <c r="T21" s="5"/>
      <c r="U21" s="5"/>
      <c r="V21" s="5"/>
      <c r="W21" s="5"/>
      <c r="X21" s="5"/>
      <c r="Y21" s="5"/>
      <c r="Z21" s="5"/>
    </row>
    <row r="22">
      <c r="A22" s="38" t="s">
        <v>1872</v>
      </c>
      <c r="B22" s="39" t="s">
        <v>1873</v>
      </c>
      <c r="C22" s="45" t="s">
        <v>53</v>
      </c>
      <c r="D22" s="41" t="s">
        <v>41</v>
      </c>
      <c r="E22" s="39" t="s">
        <v>1874</v>
      </c>
      <c r="F22" s="81" t="s">
        <v>1875</v>
      </c>
      <c r="G22" s="53" t="s">
        <v>1876</v>
      </c>
      <c r="H22" s="41" t="s">
        <v>45</v>
      </c>
      <c r="I22" s="53" t="s">
        <v>1877</v>
      </c>
      <c r="J22" s="5"/>
      <c r="K22" s="5"/>
      <c r="L22" s="5"/>
      <c r="M22" s="5"/>
      <c r="N22" s="5"/>
      <c r="O22" s="5"/>
      <c r="P22" s="5"/>
      <c r="Q22" s="5"/>
      <c r="R22" s="5"/>
      <c r="S22" s="5"/>
      <c r="T22" s="5"/>
      <c r="U22" s="5"/>
      <c r="V22" s="5"/>
      <c r="W22" s="5"/>
      <c r="X22" s="5"/>
      <c r="Y22" s="5"/>
      <c r="Z22" s="5"/>
    </row>
    <row r="23">
      <c r="A23" s="42" t="s">
        <v>1878</v>
      </c>
      <c r="B23" s="43" t="s">
        <v>1879</v>
      </c>
      <c r="C23" s="45" t="s">
        <v>53</v>
      </c>
      <c r="D23" s="44" t="s">
        <v>41</v>
      </c>
      <c r="E23" s="43" t="s">
        <v>1880</v>
      </c>
      <c r="F23" s="62" t="s">
        <v>1881</v>
      </c>
      <c r="G23" s="52" t="s">
        <v>1882</v>
      </c>
      <c r="H23" s="44" t="s">
        <v>45</v>
      </c>
      <c r="I23" s="52" t="s">
        <v>1883</v>
      </c>
      <c r="J23" s="5"/>
      <c r="K23" s="5"/>
      <c r="L23" s="5"/>
      <c r="M23" s="5"/>
      <c r="N23" s="5"/>
      <c r="O23" s="5"/>
      <c r="P23" s="5"/>
      <c r="Q23" s="5"/>
      <c r="R23" s="5"/>
      <c r="S23" s="5"/>
      <c r="T23" s="5"/>
      <c r="U23" s="5"/>
      <c r="V23" s="5"/>
      <c r="W23" s="5"/>
      <c r="X23" s="5"/>
      <c r="Y23" s="5"/>
      <c r="Z23" s="5"/>
    </row>
    <row r="24">
      <c r="A24" s="5"/>
      <c r="B24" s="48"/>
      <c r="C24" s="5"/>
      <c r="D24" s="5"/>
      <c r="E24" s="48"/>
      <c r="F24" s="48"/>
      <c r="G24" s="48"/>
      <c r="H24" s="80"/>
      <c r="I24" s="48"/>
      <c r="J24" s="5"/>
      <c r="K24" s="5"/>
      <c r="L24" s="5"/>
      <c r="M24" s="5"/>
      <c r="N24" s="5"/>
      <c r="O24" s="5"/>
      <c r="P24" s="5"/>
      <c r="Q24" s="5"/>
      <c r="R24" s="5"/>
      <c r="S24" s="5"/>
      <c r="T24" s="5"/>
      <c r="U24" s="5"/>
      <c r="V24" s="5"/>
      <c r="W24" s="5"/>
      <c r="X24" s="5"/>
      <c r="Y24" s="5"/>
      <c r="Z24" s="5"/>
    </row>
    <row r="25">
      <c r="A25" s="76" t="s">
        <v>1884</v>
      </c>
      <c r="B25" s="77"/>
      <c r="C25" s="77"/>
      <c r="D25" s="77"/>
      <c r="E25" s="77"/>
      <c r="F25" s="77"/>
      <c r="G25" s="77"/>
      <c r="H25" s="77"/>
      <c r="I25" s="78"/>
      <c r="J25" s="5"/>
      <c r="K25" s="5"/>
      <c r="L25" s="5"/>
      <c r="M25" s="5"/>
      <c r="N25" s="5"/>
      <c r="O25" s="5"/>
      <c r="P25" s="5"/>
      <c r="Q25" s="5"/>
      <c r="R25" s="5"/>
      <c r="S25" s="5"/>
      <c r="T25" s="5"/>
      <c r="U25" s="5"/>
      <c r="V25" s="5"/>
      <c r="W25" s="5"/>
      <c r="X25" s="5"/>
      <c r="Y25" s="5"/>
      <c r="Z25" s="5"/>
    </row>
    <row r="26" ht="15.75" customHeight="1">
      <c r="A26" s="58" t="s">
        <v>1885</v>
      </c>
      <c r="B26" s="43" t="s">
        <v>1886</v>
      </c>
      <c r="C26" s="40" t="s">
        <v>40</v>
      </c>
      <c r="D26" s="44" t="s">
        <v>41</v>
      </c>
      <c r="E26" s="43" t="s">
        <v>1887</v>
      </c>
      <c r="F26" s="43" t="s">
        <v>1888</v>
      </c>
      <c r="G26" s="52" t="s">
        <v>1889</v>
      </c>
      <c r="H26" s="44" t="s">
        <v>45</v>
      </c>
      <c r="I26" s="52" t="s">
        <v>1890</v>
      </c>
      <c r="J26" s="5"/>
      <c r="K26" s="5"/>
      <c r="L26" s="5"/>
      <c r="M26" s="5"/>
      <c r="N26" s="5"/>
      <c r="O26" s="5"/>
      <c r="P26" s="5"/>
      <c r="Q26" s="5"/>
      <c r="R26" s="5"/>
      <c r="S26" s="5"/>
      <c r="T26" s="5"/>
      <c r="U26" s="5"/>
      <c r="V26" s="5"/>
      <c r="W26" s="5"/>
      <c r="X26" s="5"/>
      <c r="Y26" s="5"/>
      <c r="Z26" s="5"/>
    </row>
    <row r="27" ht="15.75" customHeight="1">
      <c r="A27" s="75" t="s">
        <v>1891</v>
      </c>
      <c r="B27" s="39" t="s">
        <v>1892</v>
      </c>
      <c r="C27" s="40" t="s">
        <v>40</v>
      </c>
      <c r="D27" s="41" t="s">
        <v>41</v>
      </c>
      <c r="E27" s="39" t="s">
        <v>1893</v>
      </c>
      <c r="F27" s="39" t="s">
        <v>1894</v>
      </c>
      <c r="G27" s="39" t="s">
        <v>1895</v>
      </c>
      <c r="H27" s="41" t="s">
        <v>45</v>
      </c>
      <c r="I27" s="39"/>
      <c r="J27" s="5"/>
      <c r="K27" s="5"/>
      <c r="L27" s="5"/>
      <c r="M27" s="5"/>
      <c r="N27" s="5"/>
      <c r="O27" s="5"/>
      <c r="P27" s="5"/>
      <c r="Q27" s="5"/>
      <c r="R27" s="5"/>
      <c r="S27" s="5"/>
      <c r="T27" s="5"/>
      <c r="U27" s="5"/>
      <c r="V27" s="5"/>
      <c r="W27" s="5"/>
      <c r="X27" s="5"/>
      <c r="Y27" s="5"/>
      <c r="Z27" s="5"/>
    </row>
    <row r="28" ht="15.75" customHeight="1">
      <c r="A28" s="58" t="s">
        <v>1896</v>
      </c>
      <c r="B28" s="43" t="s">
        <v>1897</v>
      </c>
      <c r="C28" s="40" t="s">
        <v>40</v>
      </c>
      <c r="D28" s="44" t="s">
        <v>41</v>
      </c>
      <c r="E28" s="52" t="s">
        <v>1898</v>
      </c>
      <c r="F28" s="43" t="s">
        <v>1899</v>
      </c>
      <c r="G28" s="43" t="s">
        <v>1900</v>
      </c>
      <c r="H28" s="44" t="s">
        <v>45</v>
      </c>
      <c r="I28" s="43" t="s">
        <v>1901</v>
      </c>
      <c r="J28" s="5"/>
      <c r="K28" s="5"/>
      <c r="L28" s="5"/>
      <c r="M28" s="5"/>
      <c r="N28" s="5"/>
      <c r="O28" s="5"/>
      <c r="P28" s="5"/>
      <c r="Q28" s="5"/>
      <c r="R28" s="5"/>
      <c r="S28" s="5"/>
      <c r="T28" s="5"/>
      <c r="U28" s="5"/>
      <c r="V28" s="5"/>
      <c r="W28" s="5"/>
      <c r="X28" s="5"/>
      <c r="Y28" s="5"/>
      <c r="Z28" s="5"/>
    </row>
    <row r="29" ht="15.75" customHeight="1">
      <c r="A29" s="75" t="s">
        <v>1902</v>
      </c>
      <c r="B29" s="39" t="s">
        <v>1903</v>
      </c>
      <c r="C29" s="45" t="s">
        <v>53</v>
      </c>
      <c r="D29" s="41" t="s">
        <v>41</v>
      </c>
      <c r="E29" s="53" t="s">
        <v>1904</v>
      </c>
      <c r="F29" s="39" t="s">
        <v>1905</v>
      </c>
      <c r="G29" s="39" t="s">
        <v>1906</v>
      </c>
      <c r="H29" s="41" t="s">
        <v>45</v>
      </c>
      <c r="I29" s="39" t="s">
        <v>1907</v>
      </c>
      <c r="J29" s="5"/>
      <c r="K29" s="5"/>
      <c r="L29" s="5"/>
      <c r="M29" s="5"/>
      <c r="N29" s="5"/>
      <c r="O29" s="5"/>
      <c r="P29" s="5"/>
      <c r="Q29" s="5"/>
      <c r="R29" s="5"/>
      <c r="S29" s="5"/>
      <c r="T29" s="5"/>
      <c r="U29" s="5"/>
      <c r="V29" s="5"/>
      <c r="W29" s="5"/>
      <c r="X29" s="5"/>
      <c r="Y29" s="5"/>
      <c r="Z29" s="5"/>
    </row>
    <row r="30" ht="15.75" customHeight="1">
      <c r="A30" s="58" t="s">
        <v>1908</v>
      </c>
      <c r="B30" s="43" t="s">
        <v>1909</v>
      </c>
      <c r="C30" s="40" t="s">
        <v>40</v>
      </c>
      <c r="D30" s="44" t="s">
        <v>41</v>
      </c>
      <c r="E30" s="43" t="s">
        <v>1910</v>
      </c>
      <c r="F30" s="52" t="s">
        <v>1911</v>
      </c>
      <c r="G30" s="52" t="s">
        <v>1912</v>
      </c>
      <c r="H30" s="44" t="s">
        <v>45</v>
      </c>
      <c r="I30" s="43"/>
      <c r="J30" s="5"/>
      <c r="K30" s="5"/>
      <c r="L30" s="5"/>
      <c r="M30" s="5"/>
      <c r="N30" s="5"/>
      <c r="O30" s="5"/>
      <c r="P30" s="5"/>
      <c r="Q30" s="5"/>
      <c r="R30" s="5"/>
      <c r="S30" s="5"/>
      <c r="T30" s="5"/>
      <c r="U30" s="5"/>
      <c r="V30" s="5"/>
      <c r="W30" s="5"/>
      <c r="X30" s="5"/>
      <c r="Y30" s="5"/>
      <c r="Z30" s="5"/>
    </row>
    <row r="31" ht="15.75" customHeight="1">
      <c r="A31" s="75" t="s">
        <v>1913</v>
      </c>
      <c r="B31" s="39" t="s">
        <v>1914</v>
      </c>
      <c r="C31" s="40" t="s">
        <v>40</v>
      </c>
      <c r="D31" s="41" t="s">
        <v>360</v>
      </c>
      <c r="E31" s="39"/>
      <c r="F31" s="53" t="s">
        <v>1915</v>
      </c>
      <c r="G31" s="53" t="s">
        <v>1916</v>
      </c>
      <c r="H31" s="41" t="s">
        <v>45</v>
      </c>
      <c r="I31" s="39"/>
      <c r="J31" s="5"/>
      <c r="K31" s="5"/>
      <c r="L31" s="5"/>
      <c r="M31" s="5"/>
      <c r="N31" s="5"/>
      <c r="O31" s="5"/>
      <c r="P31" s="5"/>
      <c r="Q31" s="5"/>
      <c r="R31" s="5"/>
      <c r="S31" s="5"/>
      <c r="T31" s="5"/>
      <c r="U31" s="5"/>
      <c r="V31" s="5"/>
      <c r="W31" s="5"/>
      <c r="X31" s="5"/>
      <c r="Y31" s="5"/>
      <c r="Z31" s="5"/>
    </row>
    <row r="32" ht="15.75" customHeight="1">
      <c r="A32" s="58" t="s">
        <v>1917</v>
      </c>
      <c r="B32" s="43" t="s">
        <v>1918</v>
      </c>
      <c r="C32" s="45" t="s">
        <v>53</v>
      </c>
      <c r="D32" s="44" t="s">
        <v>41</v>
      </c>
      <c r="E32" s="43"/>
      <c r="F32" s="52" t="s">
        <v>1919</v>
      </c>
      <c r="G32" s="52" t="s">
        <v>1920</v>
      </c>
      <c r="H32" s="44" t="s">
        <v>45</v>
      </c>
      <c r="I32" s="43"/>
      <c r="J32" s="5"/>
      <c r="K32" s="5"/>
      <c r="L32" s="5"/>
      <c r="M32" s="5"/>
      <c r="N32" s="5"/>
      <c r="O32" s="5"/>
      <c r="P32" s="5"/>
      <c r="Q32" s="5"/>
      <c r="R32" s="5"/>
      <c r="S32" s="5"/>
      <c r="T32" s="5"/>
      <c r="U32" s="5"/>
      <c r="V32" s="5"/>
      <c r="W32" s="5"/>
      <c r="X32" s="5"/>
      <c r="Y32" s="5"/>
      <c r="Z32" s="5"/>
    </row>
    <row r="33" ht="15.75" customHeight="1">
      <c r="A33" s="75" t="s">
        <v>1921</v>
      </c>
      <c r="B33" s="39" t="s">
        <v>1922</v>
      </c>
      <c r="C33" s="40" t="s">
        <v>40</v>
      </c>
      <c r="D33" s="41" t="s">
        <v>41</v>
      </c>
      <c r="E33" s="39" t="s">
        <v>1923</v>
      </c>
      <c r="F33" s="39" t="s">
        <v>1924</v>
      </c>
      <c r="G33" s="53" t="s">
        <v>1925</v>
      </c>
      <c r="H33" s="41" t="s">
        <v>45</v>
      </c>
      <c r="I33" s="39"/>
      <c r="J33" s="5"/>
      <c r="K33" s="5"/>
      <c r="L33" s="5"/>
      <c r="M33" s="5"/>
      <c r="N33" s="5"/>
      <c r="O33" s="5"/>
      <c r="P33" s="5"/>
      <c r="Q33" s="5"/>
      <c r="R33" s="5"/>
      <c r="S33" s="5"/>
      <c r="T33" s="5"/>
      <c r="U33" s="5"/>
      <c r="V33" s="5"/>
      <c r="W33" s="5"/>
      <c r="X33" s="5"/>
      <c r="Y33" s="5"/>
      <c r="Z33" s="5"/>
    </row>
    <row r="34" ht="15.75" customHeight="1">
      <c r="A34" s="75" t="s">
        <v>1926</v>
      </c>
      <c r="B34" s="39" t="s">
        <v>1927</v>
      </c>
      <c r="C34" s="45" t="s">
        <v>53</v>
      </c>
      <c r="D34" s="41" t="s">
        <v>41</v>
      </c>
      <c r="E34" s="39" t="s">
        <v>1928</v>
      </c>
      <c r="F34" s="53" t="s">
        <v>1929</v>
      </c>
      <c r="G34" s="53" t="s">
        <v>1930</v>
      </c>
      <c r="H34" s="41" t="s">
        <v>45</v>
      </c>
      <c r="I34" s="39"/>
      <c r="J34" s="5"/>
      <c r="K34" s="5"/>
      <c r="L34" s="5"/>
      <c r="M34" s="5"/>
      <c r="N34" s="5"/>
      <c r="O34" s="5"/>
      <c r="P34" s="5"/>
      <c r="Q34" s="5"/>
      <c r="R34" s="5"/>
      <c r="S34" s="5"/>
      <c r="T34" s="5"/>
      <c r="U34" s="5"/>
      <c r="V34" s="5"/>
      <c r="W34" s="5"/>
      <c r="X34" s="5"/>
      <c r="Y34" s="5"/>
      <c r="Z34" s="5"/>
    </row>
    <row r="35" ht="15.75" customHeight="1">
      <c r="A35" s="58" t="s">
        <v>1931</v>
      </c>
      <c r="B35" s="43" t="s">
        <v>1932</v>
      </c>
      <c r="C35" s="46" t="s">
        <v>74</v>
      </c>
      <c r="D35" s="44" t="s">
        <v>41</v>
      </c>
      <c r="E35" s="43" t="s">
        <v>1933</v>
      </c>
      <c r="F35" s="52" t="s">
        <v>1934</v>
      </c>
      <c r="G35" s="43" t="s">
        <v>1935</v>
      </c>
      <c r="H35" s="44" t="s">
        <v>45</v>
      </c>
      <c r="I35" s="43"/>
      <c r="J35" s="5"/>
      <c r="K35" s="5"/>
      <c r="L35" s="5"/>
      <c r="M35" s="5"/>
      <c r="N35" s="5"/>
      <c r="O35" s="5"/>
      <c r="P35" s="5"/>
      <c r="Q35" s="5"/>
      <c r="R35" s="5"/>
      <c r="S35" s="5"/>
      <c r="T35" s="5"/>
      <c r="U35" s="5"/>
      <c r="V35" s="5"/>
      <c r="W35" s="5"/>
      <c r="X35" s="5"/>
      <c r="Y35" s="5"/>
      <c r="Z35" s="5"/>
    </row>
    <row r="36" ht="15.75" customHeight="1">
      <c r="A36" s="75" t="s">
        <v>1936</v>
      </c>
      <c r="B36" s="39" t="s">
        <v>1937</v>
      </c>
      <c r="C36" s="40" t="s">
        <v>40</v>
      </c>
      <c r="D36" s="41" t="s">
        <v>41</v>
      </c>
      <c r="E36" s="39" t="s">
        <v>1938</v>
      </c>
      <c r="F36" s="81" t="s">
        <v>1939</v>
      </c>
      <c r="G36" s="81" t="s">
        <v>1940</v>
      </c>
      <c r="H36" s="41" t="s">
        <v>45</v>
      </c>
      <c r="I36" s="39"/>
      <c r="J36" s="5"/>
      <c r="K36" s="5"/>
      <c r="L36" s="5"/>
      <c r="M36" s="5"/>
      <c r="N36" s="5"/>
      <c r="O36" s="5"/>
      <c r="P36" s="5"/>
      <c r="Q36" s="5"/>
      <c r="R36" s="5"/>
      <c r="S36" s="5"/>
      <c r="T36" s="5"/>
      <c r="U36" s="5"/>
      <c r="V36" s="5"/>
      <c r="W36" s="5"/>
      <c r="X36" s="5"/>
      <c r="Y36" s="5"/>
      <c r="Z36" s="5"/>
    </row>
    <row r="37" ht="15.75" customHeight="1">
      <c r="A37" s="58" t="s">
        <v>1941</v>
      </c>
      <c r="B37" s="43" t="s">
        <v>1942</v>
      </c>
      <c r="C37" s="40" t="s">
        <v>40</v>
      </c>
      <c r="D37" s="44" t="s">
        <v>41</v>
      </c>
      <c r="E37" s="43" t="s">
        <v>1943</v>
      </c>
      <c r="F37" s="62" t="s">
        <v>1944</v>
      </c>
      <c r="G37" s="52" t="s">
        <v>1945</v>
      </c>
      <c r="H37" s="44" t="s">
        <v>45</v>
      </c>
      <c r="I37" s="43"/>
      <c r="J37" s="5"/>
      <c r="K37" s="5"/>
      <c r="L37" s="5"/>
      <c r="M37" s="5"/>
      <c r="N37" s="5"/>
      <c r="O37" s="5"/>
      <c r="P37" s="5"/>
      <c r="Q37" s="5"/>
      <c r="R37" s="5"/>
      <c r="S37" s="5"/>
      <c r="T37" s="5"/>
      <c r="U37" s="5"/>
      <c r="V37" s="5"/>
      <c r="W37" s="5"/>
      <c r="X37" s="5"/>
      <c r="Y37" s="5"/>
      <c r="Z37" s="5"/>
    </row>
    <row r="38" ht="15.75" customHeight="1">
      <c r="A38" s="75" t="s">
        <v>1946</v>
      </c>
      <c r="B38" s="39" t="s">
        <v>1947</v>
      </c>
      <c r="C38" s="40" t="s">
        <v>40</v>
      </c>
      <c r="D38" s="41" t="s">
        <v>41</v>
      </c>
      <c r="E38" s="39" t="s">
        <v>1948</v>
      </c>
      <c r="F38" s="53" t="s">
        <v>1949</v>
      </c>
      <c r="G38" s="53" t="s">
        <v>1950</v>
      </c>
      <c r="H38" s="41" t="s">
        <v>45</v>
      </c>
      <c r="I38" s="39"/>
      <c r="J38" s="5"/>
      <c r="K38" s="5"/>
      <c r="L38" s="5"/>
      <c r="M38" s="5"/>
      <c r="N38" s="5"/>
      <c r="O38" s="5"/>
      <c r="P38" s="5"/>
      <c r="Q38" s="5"/>
      <c r="R38" s="5"/>
      <c r="S38" s="5"/>
      <c r="T38" s="5"/>
      <c r="U38" s="5"/>
      <c r="V38" s="5"/>
      <c r="W38" s="5"/>
      <c r="X38" s="5"/>
      <c r="Y38" s="5"/>
      <c r="Z38" s="5"/>
    </row>
    <row r="39" ht="15.75" customHeight="1">
      <c r="A39" s="58" t="s">
        <v>1951</v>
      </c>
      <c r="B39" s="52" t="s">
        <v>1952</v>
      </c>
      <c r="C39" s="45" t="s">
        <v>53</v>
      </c>
      <c r="D39" s="44" t="s">
        <v>41</v>
      </c>
      <c r="E39" s="43" t="s">
        <v>1953</v>
      </c>
      <c r="F39" s="52" t="s">
        <v>1954</v>
      </c>
      <c r="G39" s="52" t="s">
        <v>1955</v>
      </c>
      <c r="H39" s="44" t="s">
        <v>45</v>
      </c>
      <c r="I39" s="43"/>
      <c r="J39" s="5"/>
      <c r="K39" s="5"/>
      <c r="L39" s="5"/>
      <c r="M39" s="5"/>
      <c r="N39" s="5"/>
      <c r="O39" s="5"/>
      <c r="P39" s="5"/>
      <c r="Q39" s="5"/>
      <c r="R39" s="5"/>
      <c r="S39" s="5"/>
      <c r="T39" s="5"/>
      <c r="U39" s="5"/>
      <c r="V39" s="5"/>
      <c r="W39" s="5"/>
      <c r="X39" s="5"/>
      <c r="Y39" s="5"/>
      <c r="Z39" s="5"/>
    </row>
    <row r="40" ht="15.75" customHeight="1">
      <c r="A40" s="5"/>
      <c r="B40" s="48"/>
      <c r="C40" s="5"/>
      <c r="D40" s="5"/>
      <c r="E40" s="48"/>
      <c r="F40" s="48"/>
      <c r="G40" s="48"/>
      <c r="H40" s="80"/>
      <c r="I40" s="48"/>
      <c r="J40" s="5"/>
      <c r="K40" s="5"/>
      <c r="L40" s="5"/>
      <c r="M40" s="5"/>
      <c r="N40" s="5"/>
      <c r="O40" s="5"/>
      <c r="P40" s="5"/>
      <c r="Q40" s="5"/>
      <c r="R40" s="5"/>
      <c r="S40" s="5"/>
      <c r="T40" s="5"/>
      <c r="U40" s="5"/>
      <c r="V40" s="5"/>
      <c r="W40" s="5"/>
      <c r="X40" s="5"/>
      <c r="Y40" s="5"/>
      <c r="Z40" s="5"/>
    </row>
    <row r="41" ht="15.75" customHeight="1">
      <c r="A41" s="82" t="s">
        <v>1956</v>
      </c>
      <c r="B41" s="83"/>
      <c r="C41" s="84"/>
      <c r="D41" s="84"/>
      <c r="E41" s="83"/>
      <c r="F41" s="83"/>
      <c r="G41" s="83"/>
      <c r="H41" s="84"/>
      <c r="I41" s="85"/>
      <c r="J41" s="5"/>
      <c r="K41" s="5"/>
      <c r="L41" s="5"/>
      <c r="M41" s="5"/>
      <c r="N41" s="5"/>
      <c r="O41" s="5"/>
      <c r="P41" s="5"/>
      <c r="Q41" s="5"/>
      <c r="R41" s="5"/>
      <c r="S41" s="5"/>
      <c r="T41" s="5"/>
      <c r="U41" s="5"/>
      <c r="V41" s="5"/>
      <c r="W41" s="5"/>
      <c r="X41" s="5"/>
      <c r="Y41" s="5"/>
      <c r="Z41" s="5"/>
    </row>
    <row r="42" ht="15.75" customHeight="1">
      <c r="A42" s="75" t="s">
        <v>1957</v>
      </c>
      <c r="B42" s="39" t="s">
        <v>1958</v>
      </c>
      <c r="C42" s="40" t="s">
        <v>40</v>
      </c>
      <c r="D42" s="41" t="s">
        <v>41</v>
      </c>
      <c r="E42" s="39" t="s">
        <v>1959</v>
      </c>
      <c r="F42" s="81" t="s">
        <v>1960</v>
      </c>
      <c r="G42" s="53" t="s">
        <v>1961</v>
      </c>
      <c r="H42" s="41" t="s">
        <v>45</v>
      </c>
      <c r="I42" s="39"/>
      <c r="J42" s="5"/>
      <c r="K42" s="5"/>
      <c r="L42" s="5"/>
      <c r="M42" s="5"/>
      <c r="N42" s="5"/>
      <c r="O42" s="5"/>
      <c r="P42" s="5"/>
      <c r="Q42" s="5"/>
      <c r="R42" s="5"/>
      <c r="S42" s="5"/>
      <c r="T42" s="5"/>
      <c r="U42" s="5"/>
      <c r="V42" s="5"/>
      <c r="W42" s="5"/>
      <c r="X42" s="5"/>
      <c r="Y42" s="5"/>
      <c r="Z42" s="5"/>
    </row>
    <row r="43" ht="15.75" customHeight="1">
      <c r="A43" s="58" t="s">
        <v>1962</v>
      </c>
      <c r="B43" s="43" t="s">
        <v>1963</v>
      </c>
      <c r="C43" s="40" t="s">
        <v>40</v>
      </c>
      <c r="D43" s="44" t="s">
        <v>41</v>
      </c>
      <c r="E43" s="43" t="s">
        <v>1964</v>
      </c>
      <c r="F43" s="52" t="s">
        <v>1965</v>
      </c>
      <c r="G43" s="52" t="s">
        <v>1966</v>
      </c>
      <c r="H43" s="44" t="s">
        <v>45</v>
      </c>
      <c r="I43" s="43"/>
      <c r="J43" s="5"/>
      <c r="K43" s="5"/>
      <c r="L43" s="5"/>
      <c r="M43" s="5"/>
      <c r="N43" s="5"/>
      <c r="O43" s="5"/>
      <c r="P43" s="5"/>
      <c r="Q43" s="5"/>
      <c r="R43" s="5"/>
      <c r="S43" s="5"/>
      <c r="T43" s="5"/>
      <c r="U43" s="5"/>
      <c r="V43" s="5"/>
      <c r="W43" s="5"/>
      <c r="X43" s="5"/>
      <c r="Y43" s="5"/>
      <c r="Z43" s="5"/>
    </row>
    <row r="44" ht="15.75" customHeight="1">
      <c r="A44" s="75" t="s">
        <v>1967</v>
      </c>
      <c r="B44" s="39" t="s">
        <v>1968</v>
      </c>
      <c r="C44" s="40" t="s">
        <v>40</v>
      </c>
      <c r="D44" s="41" t="s">
        <v>41</v>
      </c>
      <c r="E44" s="53" t="s">
        <v>1969</v>
      </c>
      <c r="F44" s="53" t="s">
        <v>1970</v>
      </c>
      <c r="G44" s="53" t="s">
        <v>1971</v>
      </c>
      <c r="H44" s="41" t="s">
        <v>45</v>
      </c>
      <c r="I44" s="53" t="s">
        <v>1972</v>
      </c>
      <c r="J44" s="5"/>
      <c r="K44" s="5"/>
      <c r="L44" s="5"/>
      <c r="M44" s="5"/>
      <c r="N44" s="5"/>
      <c r="O44" s="5"/>
      <c r="P44" s="5"/>
      <c r="Q44" s="5"/>
      <c r="R44" s="5"/>
      <c r="S44" s="5"/>
      <c r="T44" s="5"/>
      <c r="U44" s="5"/>
      <c r="V44" s="5"/>
      <c r="W44" s="5"/>
      <c r="X44" s="5"/>
      <c r="Y44" s="5"/>
      <c r="Z44" s="5"/>
    </row>
    <row r="45" ht="15.75" customHeight="1">
      <c r="A45" s="58" t="s">
        <v>1973</v>
      </c>
      <c r="B45" s="43" t="s">
        <v>1974</v>
      </c>
      <c r="C45" s="45" t="s">
        <v>53</v>
      </c>
      <c r="D45" s="44" t="s">
        <v>41</v>
      </c>
      <c r="E45" s="43"/>
      <c r="F45" s="52" t="s">
        <v>1975</v>
      </c>
      <c r="G45" s="52" t="s">
        <v>1976</v>
      </c>
      <c r="H45" s="44" t="s">
        <v>45</v>
      </c>
      <c r="I45" s="43"/>
      <c r="J45" s="5"/>
      <c r="K45" s="5"/>
      <c r="L45" s="5"/>
      <c r="M45" s="5"/>
      <c r="N45" s="5"/>
      <c r="O45" s="5"/>
      <c r="P45" s="5"/>
      <c r="Q45" s="5"/>
      <c r="R45" s="5"/>
      <c r="S45" s="5"/>
      <c r="T45" s="5"/>
      <c r="U45" s="5"/>
      <c r="V45" s="5"/>
      <c r="W45" s="5"/>
      <c r="X45" s="5"/>
      <c r="Y45" s="5"/>
      <c r="Z45" s="5"/>
    </row>
    <row r="46" ht="15.75" customHeight="1">
      <c r="A46" s="5"/>
      <c r="B46" s="48"/>
      <c r="C46" s="5"/>
      <c r="D46" s="5"/>
      <c r="E46" s="48"/>
      <c r="F46" s="48"/>
      <c r="G46" s="48"/>
      <c r="H46" s="80"/>
      <c r="I46" s="48"/>
      <c r="J46" s="5"/>
      <c r="K46" s="5"/>
      <c r="L46" s="5"/>
      <c r="M46" s="5"/>
      <c r="N46" s="5"/>
      <c r="O46" s="5"/>
      <c r="P46" s="5"/>
      <c r="Q46" s="5"/>
      <c r="R46" s="5"/>
      <c r="S46" s="5"/>
      <c r="T46" s="5"/>
      <c r="U46" s="5"/>
      <c r="V46" s="5"/>
      <c r="W46" s="5"/>
      <c r="X46" s="5"/>
      <c r="Y46" s="5"/>
      <c r="Z46" s="5"/>
    </row>
    <row r="47" ht="15.75" customHeight="1">
      <c r="A47" s="82" t="s">
        <v>1977</v>
      </c>
      <c r="B47" s="83"/>
      <c r="C47" s="84"/>
      <c r="D47" s="84"/>
      <c r="E47" s="83"/>
      <c r="F47" s="83"/>
      <c r="G47" s="83"/>
      <c r="H47" s="84"/>
      <c r="I47" s="85"/>
      <c r="J47" s="5"/>
      <c r="K47" s="5"/>
      <c r="L47" s="5"/>
      <c r="M47" s="5"/>
      <c r="N47" s="5"/>
      <c r="O47" s="5"/>
      <c r="P47" s="5"/>
      <c r="Q47" s="5"/>
      <c r="R47" s="5"/>
      <c r="S47" s="5"/>
      <c r="T47" s="5"/>
      <c r="U47" s="5"/>
      <c r="V47" s="5"/>
      <c r="W47" s="5"/>
      <c r="X47" s="5"/>
      <c r="Y47" s="5"/>
      <c r="Z47" s="5"/>
    </row>
    <row r="48" ht="15.75" customHeight="1">
      <c r="A48" s="75" t="s">
        <v>1978</v>
      </c>
      <c r="B48" s="39" t="s">
        <v>1979</v>
      </c>
      <c r="C48" s="40" t="s">
        <v>40</v>
      </c>
      <c r="D48" s="41" t="s">
        <v>41</v>
      </c>
      <c r="E48" s="39" t="s">
        <v>1980</v>
      </c>
      <c r="F48" s="39" t="s">
        <v>1981</v>
      </c>
      <c r="G48" s="39" t="s">
        <v>1982</v>
      </c>
      <c r="H48" s="41" t="s">
        <v>45</v>
      </c>
      <c r="I48" s="39" t="s">
        <v>1983</v>
      </c>
      <c r="J48" s="5"/>
      <c r="K48" s="5"/>
      <c r="L48" s="5"/>
      <c r="M48" s="5"/>
      <c r="N48" s="5"/>
      <c r="O48" s="5"/>
      <c r="P48" s="5"/>
      <c r="Q48" s="5"/>
      <c r="R48" s="5"/>
      <c r="S48" s="5"/>
      <c r="T48" s="5"/>
      <c r="U48" s="5"/>
      <c r="V48" s="5"/>
      <c r="W48" s="5"/>
      <c r="X48" s="5"/>
      <c r="Y48" s="5"/>
      <c r="Z48" s="5"/>
    </row>
    <row r="49" ht="15.75" customHeight="1">
      <c r="A49" s="75" t="s">
        <v>1984</v>
      </c>
      <c r="B49" s="39" t="s">
        <v>1985</v>
      </c>
      <c r="C49" s="40" t="s">
        <v>40</v>
      </c>
      <c r="D49" s="41" t="s">
        <v>41</v>
      </c>
      <c r="E49" s="39" t="s">
        <v>1986</v>
      </c>
      <c r="F49" s="39" t="s">
        <v>1987</v>
      </c>
      <c r="G49" s="39" t="s">
        <v>1988</v>
      </c>
      <c r="H49" s="41" t="s">
        <v>45</v>
      </c>
      <c r="I49" s="39" t="s">
        <v>1989</v>
      </c>
      <c r="J49" s="5"/>
      <c r="K49" s="5"/>
      <c r="L49" s="5"/>
      <c r="M49" s="5"/>
      <c r="N49" s="5"/>
      <c r="O49" s="5"/>
      <c r="P49" s="5"/>
      <c r="Q49" s="5"/>
      <c r="R49" s="5"/>
      <c r="S49" s="5"/>
      <c r="T49" s="5"/>
      <c r="U49" s="5"/>
      <c r="V49" s="5"/>
      <c r="W49" s="5"/>
      <c r="X49" s="5"/>
      <c r="Y49" s="5"/>
      <c r="Z49" s="5"/>
    </row>
    <row r="50" ht="15.75" customHeight="1">
      <c r="A50" s="75" t="s">
        <v>1990</v>
      </c>
      <c r="B50" s="39" t="s">
        <v>1991</v>
      </c>
      <c r="C50" s="45" t="s">
        <v>53</v>
      </c>
      <c r="D50" s="41" t="s">
        <v>41</v>
      </c>
      <c r="E50" s="39" t="s">
        <v>1992</v>
      </c>
      <c r="F50" s="39" t="s">
        <v>1993</v>
      </c>
      <c r="G50" s="39" t="s">
        <v>1994</v>
      </c>
      <c r="H50" s="41" t="s">
        <v>45</v>
      </c>
      <c r="I50" s="39" t="s">
        <v>1995</v>
      </c>
      <c r="J50" s="5"/>
      <c r="K50" s="5"/>
      <c r="L50" s="5"/>
      <c r="M50" s="5"/>
      <c r="N50" s="5"/>
      <c r="O50" s="5"/>
      <c r="P50" s="5"/>
      <c r="Q50" s="5"/>
      <c r="R50" s="5"/>
      <c r="S50" s="5"/>
      <c r="T50" s="5"/>
      <c r="U50" s="5"/>
      <c r="V50" s="5"/>
      <c r="W50" s="5"/>
      <c r="X50" s="5"/>
      <c r="Y50" s="5"/>
      <c r="Z50" s="5"/>
    </row>
    <row r="51" ht="15.75" customHeight="1">
      <c r="A51" s="5"/>
      <c r="B51" s="48"/>
      <c r="C51" s="5"/>
      <c r="D51" s="5"/>
      <c r="E51" s="48"/>
      <c r="F51" s="48"/>
      <c r="G51" s="48"/>
      <c r="H51" s="5"/>
      <c r="I51" s="48"/>
      <c r="J51" s="5"/>
      <c r="K51" s="5"/>
      <c r="L51" s="5"/>
      <c r="M51" s="5"/>
      <c r="N51" s="5"/>
      <c r="O51" s="5"/>
      <c r="P51" s="5"/>
      <c r="Q51" s="5"/>
      <c r="R51" s="5"/>
      <c r="S51" s="5"/>
      <c r="T51" s="5"/>
      <c r="U51" s="5"/>
      <c r="V51" s="5"/>
      <c r="W51" s="5"/>
      <c r="X51" s="5"/>
      <c r="Y51" s="5"/>
      <c r="Z51" s="5"/>
    </row>
    <row r="52" ht="15.75" customHeight="1">
      <c r="A52" s="5"/>
      <c r="B52" s="48"/>
      <c r="C52" s="5"/>
      <c r="D52" s="5"/>
      <c r="E52" s="48"/>
      <c r="F52" s="48"/>
      <c r="G52" s="48"/>
      <c r="H52" s="5"/>
      <c r="I52" s="48"/>
      <c r="J52" s="5"/>
      <c r="K52" s="5"/>
      <c r="L52" s="5"/>
      <c r="M52" s="5"/>
      <c r="N52" s="5"/>
      <c r="O52" s="5"/>
      <c r="P52" s="5"/>
      <c r="Q52" s="5"/>
      <c r="R52" s="5"/>
      <c r="S52" s="5"/>
      <c r="T52" s="5"/>
      <c r="U52" s="5"/>
      <c r="V52" s="5"/>
      <c r="W52" s="5"/>
      <c r="X52" s="5"/>
      <c r="Y52" s="5"/>
      <c r="Z52" s="5"/>
    </row>
    <row r="53" ht="15.75" customHeight="1">
      <c r="A53" s="5"/>
      <c r="J53" s="5"/>
      <c r="K53" s="5"/>
      <c r="L53" s="5"/>
      <c r="M53" s="5"/>
      <c r="N53" s="5"/>
      <c r="O53" s="5"/>
      <c r="P53" s="5"/>
      <c r="Q53" s="5"/>
      <c r="R53" s="5"/>
      <c r="S53" s="5"/>
      <c r="T53" s="5"/>
      <c r="U53" s="5"/>
      <c r="V53" s="5"/>
      <c r="W53" s="5"/>
      <c r="X53" s="5"/>
      <c r="Y53" s="5"/>
      <c r="Z53" s="5"/>
    </row>
    <row r="54" ht="60.0"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60.0"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60.0"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60.0"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60.0"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60.0"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60.0"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60.0"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60.0"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ht="15.7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ht="15.7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ht="15.7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ht="15.75" customHeight="1">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ht="15.75" customHeight="1">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ht="15.75" customHeight="1">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ht="15.75" customHeight="1">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ht="15.75" customHeight="1">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ht="15.75" customHeight="1">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ht="15.75" customHeight="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ht="15.75" customHeight="1">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sheetData>
  <mergeCells count="6">
    <mergeCell ref="A1:I1"/>
    <mergeCell ref="A2:I2"/>
    <mergeCell ref="A5:I5"/>
    <mergeCell ref="A15:I15"/>
    <mergeCell ref="A25:I25"/>
    <mergeCell ref="A53:I53"/>
  </mergeCells>
  <conditionalFormatting sqref="A5:I62">
    <cfRule type="expression" dxfId="2" priority="1">
      <formula>$H5="Pass"</formula>
    </cfRule>
  </conditionalFormatting>
  <conditionalFormatting sqref="A5:I62">
    <cfRule type="expression" dxfId="1" priority="2">
      <formula>$H5="Fail"</formula>
    </cfRule>
  </conditionalFormatting>
  <conditionalFormatting sqref="A5:I62">
    <cfRule type="expression" dxfId="0" priority="3">
      <formula>$H5="Blocked"</formula>
    </cfRule>
  </conditionalFormatting>
  <dataValidations>
    <dataValidation type="list" allowBlank="1" sqref="H6:H14 H16:H24 H26:H52 H54:H62">
      <formula1>"Pass,Fail,Blocked,Not Run"</formula1>
    </dataValidation>
  </dataValidations>
  <hyperlinks>
    <hyperlink r:id="rId1" location="/account/tokens" ref="F21"/>
    <hyperlink r:id="rId2" location="/account/tokens" ref="F22"/>
    <hyperlink r:id="rId3" location="/account/tokens" ref="F23"/>
    <hyperlink r:id="rId4" location="/account/affiliate" ref="F36"/>
    <hyperlink r:id="rId5" ref="G36"/>
    <hyperlink r:id="rId6" ref="F37"/>
    <hyperlink r:id="rId7" location="/account/my-rewards" ref="F42"/>
  </hyperlinks>
  <printOptions/>
  <pageMargins bottom="1.0" footer="0.0" header="0.0" left="0.75" right="0.75" top="1.0"/>
  <pageSetup orientation="landscape"/>
  <drawing r:id="rId8"/>
</worksheet>
</file>